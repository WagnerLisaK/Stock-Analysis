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wor\Documents\GitHub\Stock-Analysis\"/>
    </mc:Choice>
  </mc:AlternateContent>
  <xr:revisionPtr revIDLastSave="0" documentId="13_ncr:1_{6FBF7F67-427B-4260-A67B-BDECE05756E4}" xr6:coauthVersionLast="47" xr6:coauthVersionMax="47" xr10:uidLastSave="{00000000-0000-0000-0000-000000000000}"/>
  <bookViews>
    <workbookView xWindow="285" yWindow="1575" windowWidth="15480" windowHeight="11775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DQ Only" sheetId="7" r:id="rId5"/>
    <sheet name="Checkerboard" sheetId="8" r:id="rId6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3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" i="7"/>
  <c r="H253" i="7"/>
</calcChain>
</file>

<file path=xl/sharedStrings.xml><?xml version="1.0" encoding="utf-8"?>
<sst xmlns="http://schemas.openxmlformats.org/spreadsheetml/2006/main" count="12596" uniqueCount="528">
  <si>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</si>
  <si>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</si>
  <si>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</si>
  <si>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</si>
  <si>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</si>
  <si>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</si>
  <si>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</si>
  <si>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</si>
  <si>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</si>
  <si>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</si>
  <si>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</si>
  <si>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</si>
  <si>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</si>
  <si>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</si>
  <si>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</si>
  <si>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</si>
  <si>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</si>
  <si>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</si>
  <si>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</si>
  <si>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</si>
  <si>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</si>
  <si>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</si>
  <si>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</si>
  <si>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</si>
  <si>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</si>
  <si>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</si>
  <si>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</si>
  <si>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</si>
  <si>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</si>
  <si>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</si>
  <si>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</si>
  <si>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</si>
  <si>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</si>
  <si>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</si>
  <si>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</si>
  <si>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</si>
  <si>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</si>
  <si>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</si>
  <si>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</si>
  <si>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</si>
  <si>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</si>
  <si>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</si>
  <si>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</si>
  <si>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</si>
  <si>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</si>
  <si>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</si>
  <si>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</si>
  <si>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</si>
  <si>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</si>
  <si>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</si>
  <si>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</si>
  <si>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</si>
  <si>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</si>
  <si>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</si>
  <si>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</si>
  <si>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</si>
  <si>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</si>
  <si>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</si>
  <si>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</si>
  <si>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</si>
  <si>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</si>
  <si>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</si>
  <si>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</si>
  <si>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</si>
  <si>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</si>
  <si>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</si>
  <si>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</si>
  <si>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</si>
  <si>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</si>
  <si>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</si>
  <si>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</si>
  <si>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</si>
  <si>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</si>
  <si>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</si>
  <si>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</si>
  <si>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</si>
  <si>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</si>
  <si>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</si>
  <si>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</si>
  <si>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</si>
  <si>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</si>
  <si>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</si>
  <si>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</si>
  <si>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</si>
  <si>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</si>
  <si>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</si>
  <si>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</si>
  <si>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</si>
  <si>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</si>
  <si>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</si>
  <si>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</si>
  <si>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</si>
  <si>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</si>
  <si>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</si>
  <si>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</si>
  <si>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</si>
  <si>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</si>
  <si>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</si>
  <si>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</si>
  <si>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</si>
  <si>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</si>
  <si>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</si>
  <si>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</si>
  <si>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</si>
  <si>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</si>
  <si>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</si>
  <si>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</si>
  <si>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</si>
  <si>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</si>
  <si>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</si>
  <si>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</si>
  <si>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</si>
  <si>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</si>
  <si>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</si>
  <si>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</si>
  <si>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</si>
  <si>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</si>
  <si>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</si>
  <si>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</si>
  <si>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</si>
  <si>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</si>
  <si>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</si>
  <si>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</si>
  <si>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</si>
  <si>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</si>
  <si>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</si>
  <si>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</si>
  <si>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</si>
  <si>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</si>
  <si>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</si>
  <si>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</si>
  <si>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</si>
  <si>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</si>
  <si>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</si>
  <si>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</si>
  <si>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</si>
  <si>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</si>
  <si>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</si>
  <si>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</si>
  <si>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</si>
  <si>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</si>
  <si>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</si>
  <si>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</si>
  <si>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</si>
  <si>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</si>
  <si>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</si>
  <si>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</si>
  <si>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</si>
  <si>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</si>
  <si>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</si>
  <si>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</si>
  <si>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</si>
  <si>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</si>
  <si>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</si>
  <si>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</si>
  <si>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</si>
  <si>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</si>
  <si>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</si>
  <si>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</si>
  <si>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</si>
  <si>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</si>
  <si>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</si>
  <si>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</si>
  <si>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</si>
  <si>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</si>
  <si>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</si>
  <si>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</si>
  <si>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</si>
  <si>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</si>
  <si>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</si>
  <si>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</si>
  <si>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</si>
  <si>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</si>
  <si>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</si>
  <si>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</si>
  <si>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</si>
  <si>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</si>
  <si>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</si>
  <si>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</si>
  <si>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</si>
  <si>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</si>
  <si>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</si>
  <si>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</si>
  <si>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</si>
  <si>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</si>
  <si>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</si>
  <si>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</si>
  <si>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</si>
  <si>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</si>
  <si>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</si>
  <si>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</si>
  <si>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</si>
  <si>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</si>
  <si>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</si>
  <si>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</si>
  <si>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</si>
  <si>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</si>
  <si>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</si>
  <si>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</si>
  <si>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</si>
  <si>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</si>
  <si>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</si>
  <si>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</si>
  <si>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</si>
  <si>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</si>
  <si>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</si>
  <si>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</si>
  <si>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</si>
  <si>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</si>
  <si>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</si>
  <si>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</si>
  <si>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</si>
  <si>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</si>
  <si>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</si>
  <si>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</si>
  <si>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</si>
  <si>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</si>
  <si>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</si>
  <si>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</si>
  <si>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</si>
  <si>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</si>
  <si>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</si>
  <si>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</si>
  <si>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</si>
  <si>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</si>
  <si>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</si>
  <si>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</si>
  <si>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</si>
  <si>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</si>
  <si>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</si>
  <si>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</si>
  <si>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</si>
  <si>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</si>
  <si>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</si>
  <si>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</si>
  <si>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</si>
  <si>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</si>
  <si>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</si>
  <si>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</si>
  <si>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</si>
  <si>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</si>
  <si>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</si>
  <si>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</si>
  <si>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</si>
  <si>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</si>
  <si>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</si>
  <si>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</si>
  <si>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</si>
  <si>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</si>
  <si>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</si>
  <si>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</si>
  <si>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</si>
  <si>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</si>
  <si>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</si>
  <si>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</si>
  <si>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</si>
  <si>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</si>
  <si>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</si>
  <si>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</si>
  <si>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</si>
  <si>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</si>
  <si>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</si>
  <si>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</si>
  <si>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</si>
  <si>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</si>
  <si>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</si>
  <si>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</si>
  <si>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</si>
  <si>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</si>
  <si>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</si>
  <si>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</si>
  <si>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</si>
  <si>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</si>
  <si>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</si>
  <si>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</si>
  <si>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</si>
  <si>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</si>
  <si>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</si>
  <si>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</si>
  <si>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</si>
  <si>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</si>
  <si>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</si>
  <si>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</si>
  <si>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</si>
  <si>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</si>
  <si>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</si>
  <si>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</si>
  <si>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</si>
  <si>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</si>
  <si>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</si>
  <si>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</si>
  <si>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</si>
  <si>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</si>
  <si>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</si>
  <si>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</si>
  <si>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</si>
  <si>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</si>
  <si>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</si>
  <si>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</si>
  <si>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</si>
  <si>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</si>
  <si>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</si>
  <si>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</si>
  <si>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</si>
  <si>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</si>
  <si>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</si>
  <si>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</si>
  <si>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</si>
  <si>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</si>
  <si>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</si>
  <si>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</si>
  <si>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</si>
  <si>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</si>
  <si>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</si>
  <si>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</si>
  <si>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</si>
  <si>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</si>
  <si>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</si>
  <si>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</si>
  <si>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</si>
  <si>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</si>
  <si>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</si>
  <si>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</si>
  <si>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</si>
  <si>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</si>
  <si>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</si>
  <si>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</si>
  <si>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</si>
  <si>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</si>
  <si>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</si>
  <si>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</si>
  <si>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</si>
  <si>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</si>
  <si>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</si>
  <si>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</si>
  <si>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</si>
  <si>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</si>
  <si>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</si>
  <si>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</si>
  <si>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</si>
  <si>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</si>
  <si>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</si>
  <si>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</si>
  <si>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</si>
  <si>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</si>
  <si>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</si>
  <si>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</si>
  <si>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</si>
  <si>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</si>
  <si>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</si>
  <si>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</si>
  <si>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</si>
  <si>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</si>
  <si>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</si>
  <si>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</si>
  <si>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</si>
  <si>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</si>
  <si>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</si>
  <si>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</si>
  <si>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</si>
  <si>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</si>
  <si>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</si>
  <si>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</si>
  <si>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</si>
  <si>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</si>
  <si>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</si>
  <si>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</si>
  <si>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</si>
  <si>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</si>
  <si>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</si>
  <si>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</si>
  <si>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</si>
  <si>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</si>
  <si>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</si>
  <si>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</si>
  <si>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</si>
  <si>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</si>
  <si>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</si>
  <si>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</si>
  <si>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</si>
  <si>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</si>
  <si>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</si>
  <si>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</si>
  <si>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</si>
  <si>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</si>
  <si>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</si>
  <si>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</si>
  <si>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</si>
  <si>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</si>
  <si>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</si>
  <si>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</si>
  <si>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</si>
  <si>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</si>
  <si>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</si>
  <si>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</si>
  <si>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</si>
  <si>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</si>
  <si>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</si>
  <si>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</si>
  <si>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</si>
  <si>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</si>
  <si>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</si>
  <si>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</si>
  <si>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</si>
  <si>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</si>
  <si>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</si>
  <si>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</si>
  <si>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</si>
  <si>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</si>
  <si>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</si>
  <si>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</si>
  <si>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</si>
  <si>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</si>
  <si>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</si>
  <si>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</si>
  <si>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</si>
  <si>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</si>
  <si>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</si>
  <si>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</si>
  <si>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</si>
  <si>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</si>
  <si>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</si>
  <si>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</si>
  <si>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</si>
  <si>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</si>
  <si>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</si>
  <si>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</si>
  <si>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</si>
  <si>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</si>
  <si>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</si>
  <si>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</si>
  <si>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</si>
  <si>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</si>
  <si>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</si>
  <si>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</si>
  <si>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</si>
  <si>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</si>
  <si>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</si>
  <si>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</si>
  <si>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</si>
  <si>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</si>
  <si>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</si>
  <si>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</si>
  <si>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</si>
  <si>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</si>
  <si>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</si>
  <si>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</si>
  <si>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</si>
  <si>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</si>
  <si>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</si>
  <si>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</si>
  <si>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</si>
  <si>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</si>
  <si>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</si>
  <si>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</si>
  <si>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</si>
  <si>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</si>
  <si>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</si>
  <si>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</si>
  <si>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</si>
  <si>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</si>
  <si>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</si>
  <si>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</si>
  <si>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</si>
  <si>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</si>
  <si>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</si>
  <si>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</si>
  <si>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</si>
  <si>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</si>
  <si>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</si>
  <si>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</si>
  <si>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</si>
  <si>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</si>
  <si>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</si>
  <si>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</si>
  <si>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</si>
  <si>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</si>
  <si>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</si>
  <si>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</si>
  <si>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</si>
  <si>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</si>
  <si>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</si>
  <si>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</si>
  <si>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</si>
  <si>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</si>
  <si>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</si>
  <si>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</si>
  <si>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</si>
  <si>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</si>
  <si>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</si>
  <si>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</si>
  <si>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</si>
  <si>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</si>
  <si>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</si>
  <si>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</si>
  <si>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</si>
  <si>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</si>
  <si>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</si>
  <si>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</si>
  <si>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</si>
  <si>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</si>
  <si>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</si>
  <si>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</si>
  <si>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</si>
  <si>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</si>
  <si>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</si>
  <si>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</si>
  <si>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</si>
  <si>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</si>
  <si>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</si>
  <si>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</si>
  <si>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</si>
  <si>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</si>
  <si>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</si>
  <si>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</si>
  <si>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</si>
  <si>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</si>
  <si>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</si>
  <si>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</si>
  <si>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</si>
  <si>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</si>
  <si>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</si>
  <si>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</si>
  <si>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</si>
  <si>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</si>
  <si>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</si>
  <si>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Should be -63%??????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</si>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</sst>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64" fontId="0" fillId="0" borderId="0" xfId="0" applyNumberFormat="1"/>
    <xf numFmtId="0" fontId="0" fillId="2" borderId="0" xfId="0" applyFill="1"/>
    <xf numFmtId="0" fontId="0" fillId="3" borderId="0" xfId="0" applyFill="1"/>
    <xf numFmtId="3" fontId="0" fillId="2" borderId="0" xfId="0" applyNumberFormat="1" applyFill="1"/>
    <xf numFmtId="3" fontId="0" fillId="3" borderId="0" xfId="0" applyNumberFormat="1" applyFill="1"/>
    <xf numFmtId="0" fontId="1" fillId="0" borderId="3" xfId="0" applyFont="1" applyBorder="1"/>
    <xf numFmtId="3" fontId="0" fillId="0" borderId="0" xfId="0" applyNumberFormat="1"/>
    <xf numFmtId="165" fontId="0" fillId="4" borderId="0" xfId="0" applyNumberFormat="1" applyFill="1"/>
    <xf numFmtId="165" fontId="0" fillId="5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19050</xdr:rowOff>
        </xdr:from>
        <xdr:to>
          <xdr:col>8</xdr:col>
          <xdr:colOff>514350</xdr:colOff>
          <xdr:row>5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9525</xdr:rowOff>
        </xdr:from>
        <xdr:to>
          <xdr:col>9</xdr:col>
          <xdr:colOff>133350</xdr:colOff>
          <xdr:row>2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1" sqref="H1:H1048576"/>
    </sheetView>
  </sheetViews>
  <sheetFormatPr defaultColWidth="8.71093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2" sqref="H12"/>
    </sheetView>
  </sheetViews>
  <sheetFormatPr defaultColWidth="8.71093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1F057-247E-4053-B18B-DB08371B224A}">
  <sheetPr codeName="Sheet3"/>
  <dimension ref="A1:C4"/>
  <sheetViews>
    <sheetView workbookViewId="0"/>
  </sheetViews>
  <sheetFormatPr defaultRowHeight="15" x14ac:dyDescent="0.25"/>
  <cols>
    <col min="2" max="2" width="12.570312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2017</v>
      </c>
      <c r="B4">
        <v>35796200</v>
      </c>
      <c r="C4">
        <v>2.0203251524390247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42365-F8A7-4855-A2CA-3C9292904640}">
  <sheetPr codeName="Sheet4"/>
  <dimension ref="A1:C15"/>
  <sheetViews>
    <sheetView tabSelected="1" workbookViewId="0">
      <selection activeCell="F15" sqref="F15"/>
    </sheetView>
  </sheetViews>
  <sheetFormatPr defaultRowHeight="15" x14ac:dyDescent="0.25"/>
  <cols>
    <col min="2" max="2" width="18" bestFit="1" customWidth="1"/>
    <col min="3" max="3" width="10.85546875" customWidth="1"/>
  </cols>
  <sheetData>
    <row r="1" spans="1:3" x14ac:dyDescent="0.25">
      <c r="A1" t="s">
        <v>527</v>
      </c>
    </row>
    <row r="3" spans="1:3" x14ac:dyDescent="0.25">
      <c r="A3" s="8" t="s">
        <v>0</v>
      </c>
      <c r="B3" s="8" t="s">
        <v>524</v>
      </c>
      <c r="C3" s="8" t="s">
        <v>525</v>
      </c>
    </row>
    <row r="4" spans="1:3" x14ac:dyDescent="0.25">
      <c r="A4" t="s">
        <v>8</v>
      </c>
      <c r="B4" s="9">
        <v>136070900</v>
      </c>
      <c r="C4" s="10">
        <v>8.8250353932380676E-2</v>
      </c>
    </row>
    <row r="5" spans="1:3" x14ac:dyDescent="0.25">
      <c r="A5" t="s">
        <v>8</v>
      </c>
      <c r="B5" s="9">
        <v>310592800</v>
      </c>
      <c r="C5" s="10">
        <v>0.36518219113349915</v>
      </c>
    </row>
    <row r="6" spans="1:3" x14ac:dyDescent="0.25">
      <c r="A6" t="s">
        <v>8</v>
      </c>
      <c r="B6" s="9">
        <v>35796200</v>
      </c>
      <c r="C6" s="10">
        <v>2.0203251838684082</v>
      </c>
    </row>
    <row r="7" spans="1:3" x14ac:dyDescent="0.25">
      <c r="A7" t="s">
        <v>8</v>
      </c>
      <c r="B7" s="9">
        <v>221772100</v>
      </c>
      <c r="C7" s="10">
        <v>1.3627452850341797</v>
      </c>
    </row>
    <row r="8" spans="1:3" x14ac:dyDescent="0.25">
      <c r="A8" t="s">
        <v>8</v>
      </c>
      <c r="B8" s="9">
        <v>684181400</v>
      </c>
      <c r="C8" s="10">
        <v>1.0705304145812988</v>
      </c>
    </row>
    <row r="9" spans="1:3" x14ac:dyDescent="0.25">
      <c r="A9" t="s">
        <v>8</v>
      </c>
      <c r="B9" s="9">
        <v>80949300</v>
      </c>
      <c r="C9" s="10">
        <v>0.25443166494369507</v>
      </c>
    </row>
    <row r="10" spans="1:3" x14ac:dyDescent="0.25">
      <c r="A10" t="s">
        <v>8</v>
      </c>
      <c r="B10" s="9">
        <v>191632200</v>
      </c>
      <c r="C10" s="10">
        <v>0.55562734603881836</v>
      </c>
    </row>
    <row r="11" spans="1:3" x14ac:dyDescent="0.25">
      <c r="A11" t="s">
        <v>8</v>
      </c>
      <c r="B11" s="9">
        <v>267681300</v>
      </c>
      <c r="C11" s="10">
        <v>9.4619713723659515E-2</v>
      </c>
    </row>
    <row r="12" spans="1:3" x14ac:dyDescent="0.25">
      <c r="A12" t="s">
        <v>8</v>
      </c>
      <c r="B12" s="9">
        <v>206885200</v>
      </c>
      <c r="C12" s="10">
        <v>1.9920318126678467</v>
      </c>
    </row>
    <row r="13" spans="1:3" x14ac:dyDescent="0.25">
      <c r="A13" t="s">
        <v>8</v>
      </c>
      <c r="B13" s="9">
        <v>782187000</v>
      </c>
      <c r="C13" s="10">
        <v>0.2563338577747345</v>
      </c>
    </row>
    <row r="14" spans="1:3" x14ac:dyDescent="0.25">
      <c r="A14" t="s">
        <v>8</v>
      </c>
      <c r="B14" s="9">
        <v>139402800</v>
      </c>
      <c r="C14" s="11">
        <v>-7.9291746020317078E-2</v>
      </c>
    </row>
    <row r="15" spans="1:3" x14ac:dyDescent="0.25">
      <c r="A15" t="s">
        <v>8</v>
      </c>
      <c r="B15" s="9">
        <v>109487900</v>
      </c>
      <c r="C15" s="10">
        <v>0.55769240856170654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binedSubs">
                <anchor moveWithCells="1">
                  <from>
                    <xdr:col>6</xdr:col>
                    <xdr:colOff>9525</xdr:colOff>
                    <xdr:row>3</xdr:row>
                    <xdr:rowOff>19050</xdr:rowOff>
                  </from>
                  <to>
                    <xdr:col>8</xdr:col>
                    <xdr:colOff>514350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6</xdr:col>
                    <xdr:colOff>19050</xdr:colOff>
                    <xdr:row>1</xdr:row>
                    <xdr:rowOff>9525</xdr:rowOff>
                  </from>
                  <to>
                    <xdr:col>9</xdr:col>
                    <xdr:colOff>133350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690E-A7AC-4310-93D0-0C49D6C71272}">
  <sheetPr codeName="Sheet6"/>
  <dimension ref="A1:J253"/>
  <sheetViews>
    <sheetView workbookViewId="0">
      <pane ySplit="1" topLeftCell="A237" activePane="bottomLeft" state="frozen"/>
      <selection pane="bottomLeft" activeCell="A2" sqref="A2"/>
    </sheetView>
  </sheetViews>
  <sheetFormatPr defaultRowHeight="15" x14ac:dyDescent="0.25"/>
  <cols>
    <col min="2" max="2" width="10.28515625" bestFit="1" customWidth="1"/>
    <col min="8" max="8" width="10" bestFit="1" customWidth="1"/>
    <col min="9" max="9" width="10.285156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525</v>
      </c>
    </row>
    <row r="2" spans="1:9" x14ac:dyDescent="0.25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>
        <v>62.57</v>
      </c>
      <c r="H2">
        <v>390900</v>
      </c>
      <c r="I2" s="3">
        <f>(F2-C2)/F2</f>
        <v>3.9156161099568487E-2</v>
      </c>
    </row>
    <row r="3" spans="1:9" x14ac:dyDescent="0.25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>
        <v>63.139999000000003</v>
      </c>
      <c r="H3">
        <v>347200</v>
      </c>
      <c r="I3" s="3">
        <f t="shared" ref="I3:I66" si="0">(F3-C3)/F3</f>
        <v>-1.2670573529784241E-3</v>
      </c>
    </row>
    <row r="4" spans="1:9" x14ac:dyDescent="0.25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>
        <v>62.5</v>
      </c>
      <c r="H4">
        <v>216800</v>
      </c>
      <c r="I4" s="3">
        <f t="shared" si="0"/>
        <v>-1.3280032000000006E-2</v>
      </c>
    </row>
    <row r="5" spans="1:9" x14ac:dyDescent="0.25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>
        <v>64.779999000000004</v>
      </c>
      <c r="H5">
        <v>219300</v>
      </c>
      <c r="I5" s="3">
        <f t="shared" si="0"/>
        <v>3.10280801331905E-2</v>
      </c>
    </row>
    <row r="6" spans="1:9" x14ac:dyDescent="0.25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>
        <v>55.849997999999999</v>
      </c>
      <c r="H6">
        <v>1488400</v>
      </c>
      <c r="I6" s="3">
        <f t="shared" si="0"/>
        <v>-0.1455685280418452</v>
      </c>
    </row>
    <row r="7" spans="1:9" x14ac:dyDescent="0.25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>
        <v>59.93</v>
      </c>
      <c r="H7">
        <v>830400</v>
      </c>
      <c r="I7" s="3">
        <f t="shared" si="0"/>
        <v>4.4385115968630012E-2</v>
      </c>
    </row>
    <row r="8" spans="1:9" x14ac:dyDescent="0.25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>
        <v>60.529998999999997</v>
      </c>
      <c r="H8">
        <v>316200</v>
      </c>
      <c r="I8" s="3">
        <f t="shared" si="0"/>
        <v>1.5033867752087633E-2</v>
      </c>
    </row>
    <row r="9" spans="1:9" x14ac:dyDescent="0.25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>
        <v>64</v>
      </c>
      <c r="H9">
        <v>259000</v>
      </c>
      <c r="I9" s="3">
        <f t="shared" si="0"/>
        <v>4.6093765625000005E-2</v>
      </c>
    </row>
    <row r="10" spans="1:9" x14ac:dyDescent="0.25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>
        <v>68.239998</v>
      </c>
      <c r="H10">
        <v>589500</v>
      </c>
      <c r="I10" s="3">
        <f t="shared" si="0"/>
        <v>6.2133618468159978E-2</v>
      </c>
    </row>
    <row r="11" spans="1:9" x14ac:dyDescent="0.25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>
        <v>64.25</v>
      </c>
      <c r="H11">
        <v>658600</v>
      </c>
      <c r="I11" s="3">
        <f t="shared" si="0"/>
        <v>-8.2645883268482379E-2</v>
      </c>
    </row>
    <row r="12" spans="1:9" x14ac:dyDescent="0.25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>
        <v>63.599997999999999</v>
      </c>
      <c r="H12">
        <v>292200</v>
      </c>
      <c r="I12" s="3">
        <f t="shared" si="0"/>
        <v>-2.044031510818603E-2</v>
      </c>
    </row>
    <row r="13" spans="1:9" x14ac:dyDescent="0.25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>
        <v>63.470001000000003</v>
      </c>
      <c r="H13">
        <v>240300</v>
      </c>
      <c r="I13" s="3">
        <f t="shared" si="0"/>
        <v>-9.4532691121273129E-3</v>
      </c>
    </row>
    <row r="14" spans="1:9" x14ac:dyDescent="0.25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>
        <v>61</v>
      </c>
      <c r="H14">
        <v>524500</v>
      </c>
      <c r="I14" s="3">
        <f t="shared" si="0"/>
        <v>-3.9016409836065573E-2</v>
      </c>
    </row>
    <row r="15" spans="1:9" x14ac:dyDescent="0.25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>
        <v>63.25</v>
      </c>
      <c r="H15">
        <v>379300</v>
      </c>
      <c r="I15" s="3">
        <f t="shared" si="0"/>
        <v>5.4545470355731228E-2</v>
      </c>
    </row>
    <row r="16" spans="1:9" x14ac:dyDescent="0.25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>
        <v>62.549999</v>
      </c>
      <c r="H16">
        <v>389800</v>
      </c>
      <c r="I16" s="3">
        <f t="shared" si="0"/>
        <v>5.6594741112625704E-2</v>
      </c>
    </row>
    <row r="17" spans="1:9" x14ac:dyDescent="0.25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>
        <v>58.66</v>
      </c>
      <c r="H17">
        <v>385700</v>
      </c>
      <c r="I17" s="3">
        <f t="shared" si="0"/>
        <v>-8.0293198090692186E-2</v>
      </c>
    </row>
    <row r="18" spans="1:9" x14ac:dyDescent="0.25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>
        <v>59.220001000000003</v>
      </c>
      <c r="H18">
        <v>235000</v>
      </c>
      <c r="I18" s="3">
        <f t="shared" si="0"/>
        <v>3.7149779852250161E-3</v>
      </c>
    </row>
    <row r="19" spans="1:9" x14ac:dyDescent="0.25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>
        <v>58.490001999999997</v>
      </c>
      <c r="H19">
        <v>329600</v>
      </c>
      <c r="I19" s="3">
        <f t="shared" si="0"/>
        <v>-1.248074841919148E-2</v>
      </c>
    </row>
    <row r="20" spans="1:9" x14ac:dyDescent="0.25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>
        <v>60.59</v>
      </c>
      <c r="H20">
        <v>436400</v>
      </c>
      <c r="I20" s="3">
        <f t="shared" si="0"/>
        <v>4.2746327776860923E-2</v>
      </c>
    </row>
    <row r="21" spans="1:9" x14ac:dyDescent="0.25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>
        <v>57.16</v>
      </c>
      <c r="H21">
        <v>239000</v>
      </c>
      <c r="I21" s="3">
        <f t="shared" si="0"/>
        <v>-3.8838365990203003E-2</v>
      </c>
    </row>
    <row r="22" spans="1:9" x14ac:dyDescent="0.25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>
        <v>54.439999</v>
      </c>
      <c r="H22">
        <v>387900</v>
      </c>
      <c r="I22" s="3">
        <f t="shared" si="0"/>
        <v>-5.6208689496853217E-2</v>
      </c>
    </row>
    <row r="23" spans="1:9" x14ac:dyDescent="0.25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>
        <v>53.380001</v>
      </c>
      <c r="H23">
        <v>425600</v>
      </c>
      <c r="I23" s="3">
        <f t="shared" si="0"/>
        <v>-5.6198949865131245E-4</v>
      </c>
    </row>
    <row r="24" spans="1:9" x14ac:dyDescent="0.25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>
        <v>51.459999000000003</v>
      </c>
      <c r="H24">
        <v>275100</v>
      </c>
      <c r="I24" s="3">
        <f t="shared" si="0"/>
        <v>-2.2541780461363719E-2</v>
      </c>
    </row>
    <row r="25" spans="1:9" x14ac:dyDescent="0.25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>
        <v>48.380001</v>
      </c>
      <c r="H25">
        <v>436000</v>
      </c>
      <c r="I25" s="3">
        <f t="shared" si="0"/>
        <v>-5.415458755364639E-2</v>
      </c>
    </row>
    <row r="26" spans="1:9" x14ac:dyDescent="0.25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>
        <v>52.299999</v>
      </c>
      <c r="H26">
        <v>401400</v>
      </c>
      <c r="I26" s="3">
        <f t="shared" si="0"/>
        <v>0.1099426407254807</v>
      </c>
    </row>
    <row r="27" spans="1:9" x14ac:dyDescent="0.25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>
        <v>50.130001</v>
      </c>
      <c r="H27">
        <v>274700</v>
      </c>
      <c r="I27" s="3">
        <f t="shared" si="0"/>
        <v>-3.6704567390692916E-2</v>
      </c>
    </row>
    <row r="28" spans="1:9" x14ac:dyDescent="0.25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>
        <v>49.02</v>
      </c>
      <c r="H28">
        <v>288600</v>
      </c>
      <c r="I28" s="3">
        <f t="shared" si="0"/>
        <v>-2.7335801713586162E-2</v>
      </c>
    </row>
    <row r="29" spans="1:9" x14ac:dyDescent="0.25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>
        <v>49.73</v>
      </c>
      <c r="H29">
        <v>313000</v>
      </c>
      <c r="I29" s="3">
        <f t="shared" si="0"/>
        <v>4.2228031369393477E-3</v>
      </c>
    </row>
    <row r="30" spans="1:9" x14ac:dyDescent="0.25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>
        <v>49.48</v>
      </c>
      <c r="H30">
        <v>197900</v>
      </c>
      <c r="I30" s="3">
        <f t="shared" si="0"/>
        <v>-1.4955557801131903E-2</v>
      </c>
    </row>
    <row r="31" spans="1:9" x14ac:dyDescent="0.25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>
        <v>51.57</v>
      </c>
      <c r="H31">
        <v>135500</v>
      </c>
      <c r="I31" s="3">
        <f t="shared" si="0"/>
        <v>4.4017859220477032E-2</v>
      </c>
    </row>
    <row r="32" spans="1:9" x14ac:dyDescent="0.25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>
        <v>53.389999000000003</v>
      </c>
      <c r="H32">
        <v>183300</v>
      </c>
      <c r="I32" s="3">
        <f t="shared" si="0"/>
        <v>4.3453812389095618E-2</v>
      </c>
    </row>
    <row r="33" spans="1:9" x14ac:dyDescent="0.25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>
        <v>53.290000999999997</v>
      </c>
      <c r="H33">
        <v>186200</v>
      </c>
      <c r="I33" s="3">
        <f t="shared" si="0"/>
        <v>-8.6319945837494624E-3</v>
      </c>
    </row>
    <row r="34" spans="1:9" x14ac:dyDescent="0.25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>
        <v>53.27</v>
      </c>
      <c r="H34">
        <v>302600</v>
      </c>
      <c r="I34" s="3">
        <f t="shared" si="0"/>
        <v>5.068518866153616E-3</v>
      </c>
    </row>
    <row r="35" spans="1:9" x14ac:dyDescent="0.25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>
        <v>61.509998000000003</v>
      </c>
      <c r="H35">
        <v>620300</v>
      </c>
      <c r="I35" s="3">
        <f t="shared" si="0"/>
        <v>0.14339130688965399</v>
      </c>
    </row>
    <row r="36" spans="1:9" x14ac:dyDescent="0.25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>
        <v>62.310001</v>
      </c>
      <c r="H36">
        <v>447500</v>
      </c>
      <c r="I36" s="3">
        <f t="shared" si="0"/>
        <v>1.3159990159525159E-2</v>
      </c>
    </row>
    <row r="37" spans="1:9" x14ac:dyDescent="0.25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>
        <v>61.91</v>
      </c>
      <c r="H37">
        <v>279500</v>
      </c>
      <c r="I37" s="3">
        <f t="shared" si="0"/>
        <v>-8.8838475205945209E-3</v>
      </c>
    </row>
    <row r="38" spans="1:9" x14ac:dyDescent="0.25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>
        <v>59.610000999999997</v>
      </c>
      <c r="H38">
        <v>319600</v>
      </c>
      <c r="I38" s="3">
        <f t="shared" si="0"/>
        <v>-4.9991594531260057E-2</v>
      </c>
    </row>
    <row r="39" spans="1:9" x14ac:dyDescent="0.25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>
        <v>56.700001</v>
      </c>
      <c r="H39">
        <v>457000</v>
      </c>
      <c r="I39" s="3">
        <f t="shared" si="0"/>
        <v>-3.721340322374949E-2</v>
      </c>
    </row>
    <row r="40" spans="1:9" x14ac:dyDescent="0.25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>
        <v>55.389999000000003</v>
      </c>
      <c r="H40">
        <v>474000</v>
      </c>
      <c r="I40" s="3">
        <f t="shared" si="0"/>
        <v>-2.3650514960290886E-2</v>
      </c>
    </row>
    <row r="41" spans="1:9" x14ac:dyDescent="0.25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>
        <v>49.139999000000003</v>
      </c>
      <c r="H41">
        <v>1346700</v>
      </c>
      <c r="I41" s="3">
        <f t="shared" si="0"/>
        <v>-0.22100124584862113</v>
      </c>
    </row>
    <row r="42" spans="1:9" x14ac:dyDescent="0.25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>
        <v>47.73</v>
      </c>
      <c r="H42">
        <v>424700</v>
      </c>
      <c r="I42" s="3">
        <f t="shared" si="0"/>
        <v>-2.0951183741881419E-2</v>
      </c>
    </row>
    <row r="43" spans="1:9" x14ac:dyDescent="0.25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>
        <v>47.970001000000003</v>
      </c>
      <c r="H43">
        <v>909500</v>
      </c>
      <c r="I43" s="3">
        <f t="shared" si="0"/>
        <v>2.4598707012743377E-2</v>
      </c>
    </row>
    <row r="44" spans="1:9" x14ac:dyDescent="0.25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>
        <v>46.73</v>
      </c>
      <c r="H44">
        <v>665300</v>
      </c>
      <c r="I44" s="3">
        <f t="shared" si="0"/>
        <v>-1.9045559597688919E-2</v>
      </c>
    </row>
    <row r="45" spans="1:9" x14ac:dyDescent="0.25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>
        <v>47.200001</v>
      </c>
      <c r="H45">
        <v>322800</v>
      </c>
      <c r="I45" s="3">
        <f t="shared" si="0"/>
        <v>3.6017372118276811E-3</v>
      </c>
    </row>
    <row r="46" spans="1:9" x14ac:dyDescent="0.25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>
        <v>48.27</v>
      </c>
      <c r="H46">
        <v>317600</v>
      </c>
      <c r="I46" s="3">
        <f t="shared" si="0"/>
        <v>2.2788522892065535E-2</v>
      </c>
    </row>
    <row r="47" spans="1:9" x14ac:dyDescent="0.25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>
        <v>45.099997999999999</v>
      </c>
      <c r="H47">
        <v>440900</v>
      </c>
      <c r="I47" s="3">
        <f t="shared" si="0"/>
        <v>-5.2106498984767158E-2</v>
      </c>
    </row>
    <row r="48" spans="1:9" x14ac:dyDescent="0.25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>
        <v>44.549999</v>
      </c>
      <c r="H48">
        <v>730600</v>
      </c>
      <c r="I48" s="3">
        <f t="shared" si="0"/>
        <v>-1.6161638971080639E-2</v>
      </c>
    </row>
    <row r="49" spans="1:9" x14ac:dyDescent="0.25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>
        <v>47.080002</v>
      </c>
      <c r="H49">
        <v>526200</v>
      </c>
      <c r="I49" s="3">
        <f t="shared" si="0"/>
        <v>4.5242160355048411E-2</v>
      </c>
    </row>
    <row r="50" spans="1:9" x14ac:dyDescent="0.25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>
        <v>45.009998000000003</v>
      </c>
      <c r="H50">
        <v>365900</v>
      </c>
      <c r="I50" s="3">
        <f t="shared" si="0"/>
        <v>-4.1546391537275712E-2</v>
      </c>
    </row>
    <row r="51" spans="1:9" x14ac:dyDescent="0.25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>
        <v>45.060001</v>
      </c>
      <c r="H51">
        <v>243200</v>
      </c>
      <c r="I51" s="3">
        <f t="shared" si="0"/>
        <v>-4.2165778025615277E-3</v>
      </c>
    </row>
    <row r="52" spans="1:9" x14ac:dyDescent="0.25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>
        <v>45.400002000000001</v>
      </c>
      <c r="H52">
        <v>263700</v>
      </c>
      <c r="I52" s="3">
        <f t="shared" si="0"/>
        <v>2.202709154065697E-3</v>
      </c>
    </row>
    <row r="53" spans="1:9" x14ac:dyDescent="0.25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>
        <v>47.459999000000003</v>
      </c>
      <c r="H53">
        <v>388500</v>
      </c>
      <c r="I53" s="3">
        <f t="shared" si="0"/>
        <v>3.9612242722550477E-2</v>
      </c>
    </row>
    <row r="54" spans="1:9" x14ac:dyDescent="0.25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>
        <v>44.439999</v>
      </c>
      <c r="H54">
        <v>508900</v>
      </c>
      <c r="I54" s="3">
        <f t="shared" si="0"/>
        <v>-4.7029704028571116E-2</v>
      </c>
    </row>
    <row r="55" spans="1:9" x14ac:dyDescent="0.25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>
        <v>46</v>
      </c>
      <c r="H55">
        <v>392100</v>
      </c>
      <c r="I55" s="3">
        <f t="shared" si="0"/>
        <v>2.7608695652173981E-2</v>
      </c>
    </row>
    <row r="56" spans="1:9" x14ac:dyDescent="0.25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>
        <v>50.220001000000003</v>
      </c>
      <c r="H56">
        <v>592800</v>
      </c>
      <c r="I56" s="3">
        <f t="shared" si="0"/>
        <v>8.7216266682272656E-2</v>
      </c>
    </row>
    <row r="57" spans="1:9" x14ac:dyDescent="0.25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>
        <v>50.77</v>
      </c>
      <c r="H57">
        <v>410800</v>
      </c>
      <c r="I57" s="3">
        <f t="shared" si="0"/>
        <v>4.4908371085286704E-2</v>
      </c>
    </row>
    <row r="58" spans="1:9" x14ac:dyDescent="0.25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>
        <v>49.59</v>
      </c>
      <c r="H58">
        <v>288400</v>
      </c>
      <c r="I58" s="3">
        <f t="shared" si="0"/>
        <v>-1.9963742690058416E-2</v>
      </c>
    </row>
    <row r="59" spans="1:9" x14ac:dyDescent="0.25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>
        <v>51.119999</v>
      </c>
      <c r="H59">
        <v>183800</v>
      </c>
      <c r="I59" s="3">
        <f t="shared" si="0"/>
        <v>1.956162010097004E-3</v>
      </c>
    </row>
    <row r="60" spans="1:9" x14ac:dyDescent="0.25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>
        <v>47.52</v>
      </c>
      <c r="H60">
        <v>293800</v>
      </c>
      <c r="I60" s="3">
        <f t="shared" si="0"/>
        <v>-8.0176809764309701E-2</v>
      </c>
    </row>
    <row r="61" spans="1:9" x14ac:dyDescent="0.25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>
        <v>46.720001000000003</v>
      </c>
      <c r="H61">
        <v>241000</v>
      </c>
      <c r="I61" s="3">
        <f t="shared" si="0"/>
        <v>-2.3758582539413833E-2</v>
      </c>
    </row>
    <row r="62" spans="1:9" x14ac:dyDescent="0.25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>
        <v>48.950001</v>
      </c>
      <c r="H62">
        <v>261700</v>
      </c>
      <c r="I62" s="3">
        <f t="shared" si="0"/>
        <v>4.3718078780018828E-2</v>
      </c>
    </row>
    <row r="63" spans="1:9" x14ac:dyDescent="0.25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>
        <v>48.580002</v>
      </c>
      <c r="H63">
        <v>297400</v>
      </c>
      <c r="I63" s="3">
        <f t="shared" si="0"/>
        <v>-2.2642444518631327E-3</v>
      </c>
    </row>
    <row r="64" spans="1:9" x14ac:dyDescent="0.25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>
        <v>50.959999000000003</v>
      </c>
      <c r="H64">
        <v>273200</v>
      </c>
      <c r="I64" s="3">
        <f t="shared" si="0"/>
        <v>2.2959144877534372E-2</v>
      </c>
    </row>
    <row r="65" spans="1:9" x14ac:dyDescent="0.25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>
        <v>54.549999</v>
      </c>
      <c r="H65">
        <v>403000</v>
      </c>
      <c r="I65" s="3">
        <f t="shared" si="0"/>
        <v>7.974331951866763E-2</v>
      </c>
    </row>
    <row r="66" spans="1:9" x14ac:dyDescent="0.25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>
        <v>53.799999</v>
      </c>
      <c r="H66">
        <v>409500</v>
      </c>
      <c r="I66" s="3">
        <f t="shared" si="0"/>
        <v>-2.4535316441176892E-2</v>
      </c>
    </row>
    <row r="67" spans="1:9" x14ac:dyDescent="0.25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>
        <v>55.84</v>
      </c>
      <c r="H67">
        <v>517300</v>
      </c>
      <c r="I67" s="3">
        <f t="shared" ref="I67:I130" si="1">(F67-C67)/F67</f>
        <v>4.7994269340974331E-2</v>
      </c>
    </row>
    <row r="68" spans="1:9" x14ac:dyDescent="0.25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>
        <v>57.419998</v>
      </c>
      <c r="H68">
        <v>554300</v>
      </c>
      <c r="I68" s="3">
        <f t="shared" si="1"/>
        <v>1.079761444784446E-2</v>
      </c>
    </row>
    <row r="69" spans="1:9" x14ac:dyDescent="0.25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>
        <v>61.060001</v>
      </c>
      <c r="H69">
        <v>387100</v>
      </c>
      <c r="I69" s="3">
        <f t="shared" si="1"/>
        <v>3.4392891673879992E-3</v>
      </c>
    </row>
    <row r="70" spans="1:9" x14ac:dyDescent="0.25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>
        <v>59.259998000000003</v>
      </c>
      <c r="H70">
        <v>498300</v>
      </c>
      <c r="I70" s="3">
        <f t="shared" si="1"/>
        <v>-1.9406041829430933E-2</v>
      </c>
    </row>
    <row r="71" spans="1:9" x14ac:dyDescent="0.25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>
        <v>52.970001000000003</v>
      </c>
      <c r="H71">
        <v>1923000</v>
      </c>
      <c r="I71" s="3">
        <f t="shared" si="1"/>
        <v>-4.6063789955374801E-2</v>
      </c>
    </row>
    <row r="72" spans="1:9" x14ac:dyDescent="0.25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>
        <v>51.650002000000001</v>
      </c>
      <c r="H72">
        <v>767300</v>
      </c>
      <c r="I72" s="3">
        <f t="shared" si="1"/>
        <v>-1.684410389761461E-2</v>
      </c>
    </row>
    <row r="73" spans="1:9" x14ac:dyDescent="0.25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>
        <v>51.290000999999997</v>
      </c>
      <c r="H73">
        <v>260900</v>
      </c>
      <c r="I73" s="3">
        <f t="shared" si="1"/>
        <v>-2.1056696801390263E-2</v>
      </c>
    </row>
    <row r="74" spans="1:9" x14ac:dyDescent="0.25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>
        <v>52.290000999999997</v>
      </c>
      <c r="H74">
        <v>469300</v>
      </c>
      <c r="I74" s="3">
        <f t="shared" si="1"/>
        <v>1.5108070087816535E-2</v>
      </c>
    </row>
    <row r="75" spans="1:9" x14ac:dyDescent="0.25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>
        <v>54.639999000000003</v>
      </c>
      <c r="H75">
        <v>493700</v>
      </c>
      <c r="I75" s="3">
        <f t="shared" si="1"/>
        <v>3.2759901770862104E-2</v>
      </c>
    </row>
    <row r="76" spans="1:9" x14ac:dyDescent="0.25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>
        <v>53.32</v>
      </c>
      <c r="H76">
        <v>433400</v>
      </c>
      <c r="I76" s="3">
        <f t="shared" si="1"/>
        <v>-9.5649287321830471E-3</v>
      </c>
    </row>
    <row r="77" spans="1:9" x14ac:dyDescent="0.25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>
        <v>54.509998000000003</v>
      </c>
      <c r="H77">
        <v>243700</v>
      </c>
      <c r="I77" s="3">
        <f t="shared" si="1"/>
        <v>2.274808375520395E-2</v>
      </c>
    </row>
    <row r="78" spans="1:9" x14ac:dyDescent="0.25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>
        <v>53.799999</v>
      </c>
      <c r="H78">
        <v>267400</v>
      </c>
      <c r="I78" s="3">
        <f t="shared" si="1"/>
        <v>-2.7137528385455981E-2</v>
      </c>
    </row>
    <row r="79" spans="1:9" x14ac:dyDescent="0.25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>
        <v>53.099997999999999</v>
      </c>
      <c r="H79">
        <v>403600</v>
      </c>
      <c r="I79" s="3">
        <f t="shared" si="1"/>
        <v>-2.3163918009940433E-2</v>
      </c>
    </row>
    <row r="80" spans="1:9" x14ac:dyDescent="0.25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>
        <v>52.029998999999997</v>
      </c>
      <c r="H80">
        <v>177700</v>
      </c>
      <c r="I80" s="3">
        <f t="shared" si="1"/>
        <v>-1.5760119464926434E-2</v>
      </c>
    </row>
    <row r="81" spans="1:9" x14ac:dyDescent="0.25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>
        <v>54.580002</v>
      </c>
      <c r="H81">
        <v>369800</v>
      </c>
      <c r="I81" s="3">
        <f t="shared" si="1"/>
        <v>4.104070937923375E-2</v>
      </c>
    </row>
    <row r="82" spans="1:9" x14ac:dyDescent="0.25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>
        <v>54.490001999999997</v>
      </c>
      <c r="H82">
        <v>202000</v>
      </c>
      <c r="I82" s="3">
        <f t="shared" si="1"/>
        <v>-5.689062004438957E-3</v>
      </c>
    </row>
    <row r="83" spans="1:9" x14ac:dyDescent="0.25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>
        <v>53.349997999999999</v>
      </c>
      <c r="H83">
        <v>359800</v>
      </c>
      <c r="I83" s="3">
        <f t="shared" si="1"/>
        <v>-1.9868829235944813E-2</v>
      </c>
    </row>
    <row r="84" spans="1:9" x14ac:dyDescent="0.25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>
        <v>52.450001</v>
      </c>
      <c r="H84">
        <v>114100</v>
      </c>
      <c r="I84" s="3">
        <f t="shared" si="1"/>
        <v>-1.6587206547431715E-2</v>
      </c>
    </row>
    <row r="85" spans="1:9" x14ac:dyDescent="0.25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>
        <v>54.32</v>
      </c>
      <c r="H85">
        <v>216700</v>
      </c>
      <c r="I85" s="3">
        <f t="shared" si="1"/>
        <v>2.5957290132547932E-2</v>
      </c>
    </row>
    <row r="86" spans="1:9" x14ac:dyDescent="0.25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>
        <v>53.209999000000003</v>
      </c>
      <c r="H86">
        <v>232000</v>
      </c>
      <c r="I86" s="3">
        <f t="shared" si="1"/>
        <v>-1.353131015845342E-2</v>
      </c>
    </row>
    <row r="87" spans="1:9" x14ac:dyDescent="0.25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>
        <v>54.009998000000003</v>
      </c>
      <c r="H87">
        <v>316700</v>
      </c>
      <c r="I87" s="3">
        <f t="shared" si="1"/>
        <v>1.4997167746608742E-2</v>
      </c>
    </row>
    <row r="88" spans="1:9" x14ac:dyDescent="0.25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>
        <v>54.349997999999999</v>
      </c>
      <c r="H88">
        <v>405300</v>
      </c>
      <c r="I88" s="3">
        <f t="shared" si="1"/>
        <v>-5.1518493156154426E-3</v>
      </c>
    </row>
    <row r="89" spans="1:9" x14ac:dyDescent="0.25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>
        <v>54.32</v>
      </c>
      <c r="H89">
        <v>554600</v>
      </c>
      <c r="I89" s="3">
        <f t="shared" si="1"/>
        <v>5.8910162002945559E-3</v>
      </c>
    </row>
    <row r="90" spans="1:9" x14ac:dyDescent="0.25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>
        <v>54.91</v>
      </c>
      <c r="H90">
        <v>394000</v>
      </c>
      <c r="I90" s="3">
        <f t="shared" si="1"/>
        <v>7.2846840284100083E-3</v>
      </c>
    </row>
    <row r="91" spans="1:9" x14ac:dyDescent="0.25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>
        <v>54.93</v>
      </c>
      <c r="H91">
        <v>276100</v>
      </c>
      <c r="I91" s="3">
        <f t="shared" si="1"/>
        <v>-5.4614964500272556E-3</v>
      </c>
    </row>
    <row r="92" spans="1:9" x14ac:dyDescent="0.25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>
        <v>55.110000999999997</v>
      </c>
      <c r="H92">
        <v>248700</v>
      </c>
      <c r="I92" s="3">
        <f t="shared" si="1"/>
        <v>1.0887678989517208E-3</v>
      </c>
    </row>
    <row r="93" spans="1:9" x14ac:dyDescent="0.25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>
        <v>60.259998000000003</v>
      </c>
      <c r="H93">
        <v>906400</v>
      </c>
      <c r="I93" s="3">
        <f t="shared" si="1"/>
        <v>8.5462946746198129E-2</v>
      </c>
    </row>
    <row r="94" spans="1:9" x14ac:dyDescent="0.25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>
        <v>59.07</v>
      </c>
      <c r="H94">
        <v>385000</v>
      </c>
      <c r="I94" s="3">
        <f t="shared" si="1"/>
        <v>-1.2696800406297613E-2</v>
      </c>
    </row>
    <row r="95" spans="1:9" x14ac:dyDescent="0.25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>
        <v>67.269997000000004</v>
      </c>
      <c r="H95">
        <v>811100</v>
      </c>
      <c r="I95" s="3">
        <f t="shared" si="1"/>
        <v>0.10970712545148471</v>
      </c>
    </row>
    <row r="96" spans="1:9" x14ac:dyDescent="0.25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>
        <v>65.120002999999997</v>
      </c>
      <c r="H96">
        <v>528100</v>
      </c>
      <c r="I96" s="3">
        <f t="shared" si="1"/>
        <v>-3.2862390992211769E-2</v>
      </c>
    </row>
    <row r="97" spans="1:9" x14ac:dyDescent="0.25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>
        <v>64.870002999999997</v>
      </c>
      <c r="H97">
        <v>364700</v>
      </c>
      <c r="I97" s="3">
        <f t="shared" si="1"/>
        <v>-2.0039616770173886E-3</v>
      </c>
    </row>
    <row r="98" spans="1:9" x14ac:dyDescent="0.25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>
        <v>65.519997000000004</v>
      </c>
      <c r="H98">
        <v>315600</v>
      </c>
      <c r="I98" s="3">
        <f t="shared" si="1"/>
        <v>-5.7998323778921572E-3</v>
      </c>
    </row>
    <row r="99" spans="1:9" x14ac:dyDescent="0.25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>
        <v>67.980002999999996</v>
      </c>
      <c r="H99">
        <v>689300</v>
      </c>
      <c r="I99" s="3">
        <f t="shared" si="1"/>
        <v>2.1476992285510681E-2</v>
      </c>
    </row>
    <row r="100" spans="1:9" x14ac:dyDescent="0.25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>
        <v>63.75</v>
      </c>
      <c r="H100">
        <v>567600</v>
      </c>
      <c r="I100" s="3">
        <f t="shared" si="1"/>
        <v>-6.4000031372549143E-2</v>
      </c>
    </row>
    <row r="101" spans="1:9" x14ac:dyDescent="0.25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>
        <v>64.589995999999999</v>
      </c>
      <c r="H101">
        <v>299300</v>
      </c>
      <c r="I101" s="3">
        <f t="shared" si="1"/>
        <v>-5.2640350062880875E-3</v>
      </c>
    </row>
    <row r="102" spans="1:9" x14ac:dyDescent="0.25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>
        <v>65.699996999999996</v>
      </c>
      <c r="H102">
        <v>324100</v>
      </c>
      <c r="I102" s="3">
        <f t="shared" si="1"/>
        <v>2.6788403049698709E-2</v>
      </c>
    </row>
    <row r="103" spans="1:9" x14ac:dyDescent="0.25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>
        <v>65.019997000000004</v>
      </c>
      <c r="H103">
        <v>368300</v>
      </c>
      <c r="I103" s="3">
        <f t="shared" si="1"/>
        <v>-6.7671796416722786E-3</v>
      </c>
    </row>
    <row r="104" spans="1:9" x14ac:dyDescent="0.25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>
        <v>57.150002000000001</v>
      </c>
      <c r="H104">
        <v>1085600</v>
      </c>
      <c r="I104" s="3">
        <f t="shared" si="1"/>
        <v>-0.14610669654919695</v>
      </c>
    </row>
    <row r="105" spans="1:9" x14ac:dyDescent="0.25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>
        <v>57.66</v>
      </c>
      <c r="H105">
        <v>788600</v>
      </c>
      <c r="I105" s="3">
        <f t="shared" si="1"/>
        <v>1.1446409989594114E-2</v>
      </c>
    </row>
    <row r="106" spans="1:9" x14ac:dyDescent="0.25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>
        <v>52.720001000000003</v>
      </c>
      <c r="H106">
        <v>1054000</v>
      </c>
      <c r="I106" s="3">
        <f t="shared" si="1"/>
        <v>-9.54096909064929E-2</v>
      </c>
    </row>
    <row r="107" spans="1:9" x14ac:dyDescent="0.25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>
        <v>41.799999</v>
      </c>
      <c r="H107">
        <v>3680600</v>
      </c>
      <c r="I107" s="3">
        <f t="shared" si="1"/>
        <v>-0.2143540481902883</v>
      </c>
    </row>
    <row r="108" spans="1:9" x14ac:dyDescent="0.25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>
        <v>42.189999</v>
      </c>
      <c r="H108">
        <v>1968400</v>
      </c>
      <c r="I108" s="3">
        <f t="shared" si="1"/>
        <v>1.6117587487973092E-2</v>
      </c>
    </row>
    <row r="109" spans="1:9" x14ac:dyDescent="0.25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>
        <v>40.159999999999997</v>
      </c>
      <c r="H109">
        <v>1345000</v>
      </c>
      <c r="I109" s="3">
        <f t="shared" si="1"/>
        <v>-4.7559760956175395E-2</v>
      </c>
    </row>
    <row r="110" spans="1:9" x14ac:dyDescent="0.25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>
        <v>40.159999999999997</v>
      </c>
      <c r="H110">
        <v>842200</v>
      </c>
      <c r="I110" s="3">
        <f t="shared" si="1"/>
        <v>1.3197186254979995E-2</v>
      </c>
    </row>
    <row r="111" spans="1:9" x14ac:dyDescent="0.25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>
        <v>39.959999000000003</v>
      </c>
      <c r="H111">
        <v>1742200</v>
      </c>
      <c r="I111" s="3">
        <f t="shared" si="1"/>
        <v>-1.0010060310561907E-2</v>
      </c>
    </row>
    <row r="112" spans="1:9" x14ac:dyDescent="0.25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>
        <v>39.369999</v>
      </c>
      <c r="H112">
        <v>1077700</v>
      </c>
      <c r="I112" s="3">
        <f t="shared" si="1"/>
        <v>-2.6924079932031487E-2</v>
      </c>
    </row>
    <row r="113" spans="1:9" x14ac:dyDescent="0.25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>
        <v>39.93</v>
      </c>
      <c r="H113">
        <v>1459400</v>
      </c>
      <c r="I113" s="3">
        <f t="shared" si="1"/>
        <v>6.0105434510393059E-3</v>
      </c>
    </row>
    <row r="114" spans="1:9" x14ac:dyDescent="0.25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>
        <v>39.689999</v>
      </c>
      <c r="H114">
        <v>723600</v>
      </c>
      <c r="I114" s="3">
        <f t="shared" si="1"/>
        <v>-2.520030297808792E-4</v>
      </c>
    </row>
    <row r="115" spans="1:9" x14ac:dyDescent="0.25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>
        <v>37.740001999999997</v>
      </c>
      <c r="H115">
        <v>1778000</v>
      </c>
      <c r="I115" s="3">
        <f t="shared" si="1"/>
        <v>-3.842069218756277E-2</v>
      </c>
    </row>
    <row r="116" spans="1:9" x14ac:dyDescent="0.25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>
        <v>35.119999</v>
      </c>
      <c r="H116">
        <v>1128300</v>
      </c>
      <c r="I116" s="3">
        <f t="shared" si="1"/>
        <v>-6.4066061049717002E-2</v>
      </c>
    </row>
    <row r="117" spans="1:9" x14ac:dyDescent="0.25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>
        <v>34.720001000000003</v>
      </c>
      <c r="H117">
        <v>568300</v>
      </c>
      <c r="I117" s="3">
        <f t="shared" si="1"/>
        <v>3.3698213315143728E-2</v>
      </c>
    </row>
    <row r="118" spans="1:9" x14ac:dyDescent="0.25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>
        <v>35.380001</v>
      </c>
      <c r="H118">
        <v>629000</v>
      </c>
      <c r="I118" s="3">
        <f t="shared" si="1"/>
        <v>3.4200196885240348E-2</v>
      </c>
    </row>
    <row r="119" spans="1:9" x14ac:dyDescent="0.25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>
        <v>34.919998</v>
      </c>
      <c r="H119">
        <v>604600</v>
      </c>
      <c r="I119" s="3">
        <f t="shared" si="1"/>
        <v>-2.1477664460347334E-2</v>
      </c>
    </row>
    <row r="120" spans="1:9" x14ac:dyDescent="0.25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>
        <v>34.619999</v>
      </c>
      <c r="H120">
        <v>459300</v>
      </c>
      <c r="I120" s="3">
        <f t="shared" si="1"/>
        <v>-1.1265136085070456E-2</v>
      </c>
    </row>
    <row r="121" spans="1:9" x14ac:dyDescent="0.25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>
        <v>35.270000000000003</v>
      </c>
      <c r="H121">
        <v>519400</v>
      </c>
      <c r="I121" s="3">
        <f t="shared" si="1"/>
        <v>1.3609271335412716E-2</v>
      </c>
    </row>
    <row r="122" spans="1:9" x14ac:dyDescent="0.25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>
        <v>33.5</v>
      </c>
      <c r="H122">
        <v>472100</v>
      </c>
      <c r="I122" s="3">
        <f t="shared" si="1"/>
        <v>-5.4925373134328458E-2</v>
      </c>
    </row>
    <row r="123" spans="1:9" x14ac:dyDescent="0.25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>
        <v>35.209999000000003</v>
      </c>
      <c r="H123">
        <v>361900</v>
      </c>
      <c r="I123" s="3">
        <f t="shared" si="1"/>
        <v>5.4813974859812029E-2</v>
      </c>
    </row>
    <row r="124" spans="1:9" x14ac:dyDescent="0.25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>
        <v>35.099997999999999</v>
      </c>
      <c r="H124">
        <v>662800</v>
      </c>
      <c r="I124" s="3">
        <f t="shared" si="1"/>
        <v>4.2734190469184375E-3</v>
      </c>
    </row>
    <row r="125" spans="1:9" x14ac:dyDescent="0.25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>
        <v>35.509998000000003</v>
      </c>
      <c r="H125">
        <v>563800</v>
      </c>
      <c r="I125" s="3">
        <f t="shared" si="1"/>
        <v>1.77413977888707E-2</v>
      </c>
    </row>
    <row r="126" spans="1:9" x14ac:dyDescent="0.25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>
        <v>35.540000999999997</v>
      </c>
      <c r="H126">
        <v>312700</v>
      </c>
      <c r="I126" s="3">
        <f t="shared" si="1"/>
        <v>-1.2099042991023181E-2</v>
      </c>
    </row>
    <row r="127" spans="1:9" x14ac:dyDescent="0.25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>
        <v>36.380001</v>
      </c>
      <c r="H127">
        <v>430500</v>
      </c>
      <c r="I127" s="3">
        <f t="shared" si="1"/>
        <v>3.3260114533806645E-2</v>
      </c>
    </row>
    <row r="128" spans="1:9" x14ac:dyDescent="0.25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>
        <v>37.099997999999999</v>
      </c>
      <c r="H128">
        <v>407600</v>
      </c>
      <c r="I128" s="3">
        <f t="shared" si="1"/>
        <v>1.5363855275679605E-2</v>
      </c>
    </row>
    <row r="129" spans="1:9" x14ac:dyDescent="0.25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>
        <v>38.689999</v>
      </c>
      <c r="H129">
        <v>1333100</v>
      </c>
      <c r="I129" s="3">
        <f t="shared" si="1"/>
        <v>3.9028147816700658E-2</v>
      </c>
    </row>
    <row r="130" spans="1:9" x14ac:dyDescent="0.25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>
        <v>38.549999</v>
      </c>
      <c r="H130">
        <v>423700</v>
      </c>
      <c r="I130" s="3">
        <f t="shared" si="1"/>
        <v>-1.296990954526346E-3</v>
      </c>
    </row>
    <row r="131" spans="1:9" x14ac:dyDescent="0.25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>
        <v>39.389999000000003</v>
      </c>
      <c r="H131">
        <v>772200</v>
      </c>
      <c r="I131" s="3">
        <f t="shared" ref="I131:I194" si="2">(F131-C131)/F131</f>
        <v>1.2439629663356997E-2</v>
      </c>
    </row>
    <row r="132" spans="1:9" x14ac:dyDescent="0.25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>
        <v>38.130001</v>
      </c>
      <c r="H132">
        <v>654000</v>
      </c>
      <c r="I132" s="3">
        <f t="shared" si="2"/>
        <v>-2.2816652955241202E-2</v>
      </c>
    </row>
    <row r="133" spans="1:9" x14ac:dyDescent="0.25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>
        <v>37.18</v>
      </c>
      <c r="H133">
        <v>702500</v>
      </c>
      <c r="I133" s="3">
        <f t="shared" si="2"/>
        <v>-1.3448090371167294E-2</v>
      </c>
    </row>
    <row r="134" spans="1:9" x14ac:dyDescent="0.25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>
        <v>37.330002</v>
      </c>
      <c r="H134">
        <v>252300</v>
      </c>
      <c r="I134" s="3">
        <f t="shared" si="2"/>
        <v>-4.2860967433110929E-3</v>
      </c>
    </row>
    <row r="135" spans="1:9" x14ac:dyDescent="0.25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>
        <v>37.349997999999999</v>
      </c>
      <c r="H135">
        <v>966100</v>
      </c>
      <c r="I135" s="3">
        <f t="shared" si="2"/>
        <v>1.311906362083346E-2</v>
      </c>
    </row>
    <row r="136" spans="1:9" x14ac:dyDescent="0.25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>
        <v>35.479999999999997</v>
      </c>
      <c r="H136">
        <v>739100</v>
      </c>
      <c r="I136" s="3">
        <f t="shared" si="2"/>
        <v>-5.2705693348365348E-2</v>
      </c>
    </row>
    <row r="137" spans="1:9" x14ac:dyDescent="0.25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>
        <v>36.189999</v>
      </c>
      <c r="H137">
        <v>438300</v>
      </c>
      <c r="I137" s="3">
        <f t="shared" si="2"/>
        <v>2.3763388332782211E-2</v>
      </c>
    </row>
    <row r="138" spans="1:9" x14ac:dyDescent="0.25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>
        <v>37.639999000000003</v>
      </c>
      <c r="H138">
        <v>407700</v>
      </c>
      <c r="I138" s="3">
        <f t="shared" si="2"/>
        <v>3.5334698069466028E-2</v>
      </c>
    </row>
    <row r="139" spans="1:9" x14ac:dyDescent="0.25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>
        <v>37.400002000000001</v>
      </c>
      <c r="H139">
        <v>330800</v>
      </c>
      <c r="I139" s="3">
        <f t="shared" si="2"/>
        <v>-5.6149462237995674E-3</v>
      </c>
    </row>
    <row r="140" spans="1:9" x14ac:dyDescent="0.25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>
        <v>36.849997999999999</v>
      </c>
      <c r="H140">
        <v>170700</v>
      </c>
      <c r="I140" s="3">
        <f t="shared" si="2"/>
        <v>-1.8453216741015757E-2</v>
      </c>
    </row>
    <row r="141" spans="1:9" x14ac:dyDescent="0.25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>
        <v>37.860000999999997</v>
      </c>
      <c r="H141">
        <v>410500</v>
      </c>
      <c r="I141" s="3">
        <f t="shared" si="2"/>
        <v>2.4035921182358044E-2</v>
      </c>
    </row>
    <row r="142" spans="1:9" x14ac:dyDescent="0.25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>
        <v>38.25</v>
      </c>
      <c r="H142">
        <v>406700</v>
      </c>
      <c r="I142" s="3">
        <f t="shared" si="2"/>
        <v>-2.6138562091511267E-4</v>
      </c>
    </row>
    <row r="143" spans="1:9" x14ac:dyDescent="0.25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>
        <v>38.549999</v>
      </c>
      <c r="H143">
        <v>441200</v>
      </c>
      <c r="I143" s="3">
        <f t="shared" si="2"/>
        <v>1.2191880990710256E-2</v>
      </c>
    </row>
    <row r="144" spans="1:9" x14ac:dyDescent="0.25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>
        <v>37.909999999999997</v>
      </c>
      <c r="H144">
        <v>301100</v>
      </c>
      <c r="I144" s="3">
        <f t="shared" si="2"/>
        <v>-1.7409654444737636E-2</v>
      </c>
    </row>
    <row r="145" spans="1:9" x14ac:dyDescent="0.25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>
        <v>36.990001999999997</v>
      </c>
      <c r="H145">
        <v>255800</v>
      </c>
      <c r="I145" s="3">
        <f t="shared" si="2"/>
        <v>-2.6763934751882414E-2</v>
      </c>
    </row>
    <row r="146" spans="1:9" x14ac:dyDescent="0.25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>
        <v>36.07</v>
      </c>
      <c r="H146">
        <v>324200</v>
      </c>
      <c r="I146" s="3">
        <f t="shared" si="2"/>
        <v>-2.4397033545883007E-2</v>
      </c>
    </row>
    <row r="147" spans="1:9" x14ac:dyDescent="0.25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>
        <v>35.270000000000003</v>
      </c>
      <c r="H147">
        <v>486500</v>
      </c>
      <c r="I147" s="3">
        <f t="shared" si="2"/>
        <v>-1.6444513751063119E-2</v>
      </c>
    </row>
    <row r="148" spans="1:9" x14ac:dyDescent="0.25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>
        <v>36.099997999999999</v>
      </c>
      <c r="H148">
        <v>273200</v>
      </c>
      <c r="I148" s="3">
        <f t="shared" si="2"/>
        <v>2.6315680128292492E-2</v>
      </c>
    </row>
    <row r="149" spans="1:9" x14ac:dyDescent="0.25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>
        <v>35.229999999999997</v>
      </c>
      <c r="H149">
        <v>320100</v>
      </c>
      <c r="I149" s="3">
        <f t="shared" si="2"/>
        <v>-1.7314788532500895E-2</v>
      </c>
    </row>
    <row r="150" spans="1:9" x14ac:dyDescent="0.25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>
        <v>35.5</v>
      </c>
      <c r="H150">
        <v>347100</v>
      </c>
      <c r="I150" s="3">
        <f t="shared" si="2"/>
        <v>1.2676084507042263E-2</v>
      </c>
    </row>
    <row r="151" spans="1:9" x14ac:dyDescent="0.25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>
        <v>37.470001000000003</v>
      </c>
      <c r="H151">
        <v>632300</v>
      </c>
      <c r="I151" s="3">
        <f t="shared" si="2"/>
        <v>5.92474230251556E-2</v>
      </c>
    </row>
    <row r="152" spans="1:9" x14ac:dyDescent="0.25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>
        <v>40.299999</v>
      </c>
      <c r="H152">
        <v>1476500</v>
      </c>
      <c r="I152" s="3">
        <f t="shared" si="2"/>
        <v>3.647635326244051E-2</v>
      </c>
    </row>
    <row r="153" spans="1:9" x14ac:dyDescent="0.25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>
        <v>40.009998000000003</v>
      </c>
      <c r="H153">
        <v>599700</v>
      </c>
      <c r="I153" s="3">
        <f t="shared" si="2"/>
        <v>-4.4738842526310461E-2</v>
      </c>
    </row>
    <row r="154" spans="1:9" x14ac:dyDescent="0.25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>
        <v>39.849997999999999</v>
      </c>
      <c r="H154">
        <v>383200</v>
      </c>
      <c r="I154" s="3">
        <f t="shared" si="2"/>
        <v>-6.2735260363124736E-3</v>
      </c>
    </row>
    <row r="155" spans="1:9" x14ac:dyDescent="0.25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>
        <v>38.700001</v>
      </c>
      <c r="H155">
        <v>241000</v>
      </c>
      <c r="I155" s="3">
        <f t="shared" si="2"/>
        <v>-1.7829405224046448E-2</v>
      </c>
    </row>
    <row r="156" spans="1:9" x14ac:dyDescent="0.25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>
        <v>37.090000000000003</v>
      </c>
      <c r="H156">
        <v>289800</v>
      </c>
      <c r="I156" s="3">
        <f t="shared" si="2"/>
        <v>-3.4510622809382489E-2</v>
      </c>
    </row>
    <row r="157" spans="1:9" x14ac:dyDescent="0.25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>
        <v>37.659999999999997</v>
      </c>
      <c r="H157">
        <v>329600</v>
      </c>
      <c r="I157" s="3">
        <f t="shared" si="2"/>
        <v>1.3276686139139671E-2</v>
      </c>
    </row>
    <row r="158" spans="1:9" x14ac:dyDescent="0.25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>
        <v>36.720001000000003</v>
      </c>
      <c r="H158">
        <v>149800</v>
      </c>
      <c r="I158" s="3">
        <f t="shared" si="2"/>
        <v>-1.1982543246662578E-2</v>
      </c>
    </row>
    <row r="159" spans="1:9" x14ac:dyDescent="0.25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>
        <v>37.110000999999997</v>
      </c>
      <c r="H159">
        <v>302400</v>
      </c>
      <c r="I159" s="3">
        <f t="shared" si="2"/>
        <v>1.1317757711728348E-2</v>
      </c>
    </row>
    <row r="160" spans="1:9" x14ac:dyDescent="0.25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>
        <v>35.130001</v>
      </c>
      <c r="H160">
        <v>462500</v>
      </c>
      <c r="I160" s="3">
        <f t="shared" si="2"/>
        <v>-5.038431396571838E-2</v>
      </c>
    </row>
    <row r="161" spans="1:9" x14ac:dyDescent="0.25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>
        <v>35.200001</v>
      </c>
      <c r="H161">
        <v>532200</v>
      </c>
      <c r="I161" s="3">
        <f t="shared" si="2"/>
        <v>4.5454544163224227E-3</v>
      </c>
    </row>
    <row r="162" spans="1:9" x14ac:dyDescent="0.25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>
        <v>34.330002</v>
      </c>
      <c r="H162">
        <v>426400</v>
      </c>
      <c r="I162" s="3">
        <f t="shared" si="2"/>
        <v>-2.5924816433159633E-2</v>
      </c>
    </row>
    <row r="163" spans="1:9" x14ac:dyDescent="0.25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>
        <v>33.590000000000003</v>
      </c>
      <c r="H163">
        <v>461000</v>
      </c>
      <c r="I163" s="3">
        <f t="shared" si="2"/>
        <v>-2.4412027389103693E-2</v>
      </c>
    </row>
    <row r="164" spans="1:9" x14ac:dyDescent="0.25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>
        <v>34.119999</v>
      </c>
      <c r="H164">
        <v>226500</v>
      </c>
      <c r="I164" s="3">
        <f t="shared" si="2"/>
        <v>1.20164130133766E-2</v>
      </c>
    </row>
    <row r="165" spans="1:9" x14ac:dyDescent="0.25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>
        <v>36.659999999999997</v>
      </c>
      <c r="H165">
        <v>394200</v>
      </c>
      <c r="I165" s="3">
        <f t="shared" si="2"/>
        <v>4.9372667757774068E-2</v>
      </c>
    </row>
    <row r="166" spans="1:9" x14ac:dyDescent="0.25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>
        <v>37.150002000000001</v>
      </c>
      <c r="H166">
        <v>430600</v>
      </c>
      <c r="I166" s="3">
        <f t="shared" si="2"/>
        <v>1.3460026193269456E-3</v>
      </c>
    </row>
    <row r="167" spans="1:9" x14ac:dyDescent="0.25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>
        <v>36.849997999999999</v>
      </c>
      <c r="H167">
        <v>233500</v>
      </c>
      <c r="I167" s="3">
        <f t="shared" si="2"/>
        <v>-9.4980466484693143E-3</v>
      </c>
    </row>
    <row r="168" spans="1:9" x14ac:dyDescent="0.25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>
        <v>37.229999999999997</v>
      </c>
      <c r="H168">
        <v>164200</v>
      </c>
      <c r="I168" s="3">
        <f t="shared" si="2"/>
        <v>1.396725758796652E-2</v>
      </c>
    </row>
    <row r="169" spans="1:9" x14ac:dyDescent="0.25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>
        <v>35.130001</v>
      </c>
      <c r="H169">
        <v>329200</v>
      </c>
      <c r="I169" s="3">
        <f t="shared" si="2"/>
        <v>-5.4369483223185695E-2</v>
      </c>
    </row>
    <row r="170" spans="1:9" x14ac:dyDescent="0.25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>
        <v>35.669998</v>
      </c>
      <c r="H170">
        <v>200000</v>
      </c>
      <c r="I170" s="3">
        <f t="shared" si="2"/>
        <v>1.7381526065686912E-2</v>
      </c>
    </row>
    <row r="171" spans="1:9" x14ac:dyDescent="0.25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>
        <v>35.840000000000003</v>
      </c>
      <c r="H171">
        <v>120200</v>
      </c>
      <c r="I171" s="3">
        <f t="shared" si="2"/>
        <v>1.2276729910714362E-2</v>
      </c>
    </row>
    <row r="172" spans="1:9" x14ac:dyDescent="0.25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>
        <v>33.090000000000003</v>
      </c>
      <c r="H172">
        <v>440000</v>
      </c>
      <c r="I172" s="3">
        <f t="shared" si="2"/>
        <v>-7.7364823209428737E-2</v>
      </c>
    </row>
    <row r="173" spans="1:9" x14ac:dyDescent="0.25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>
        <v>33.330002</v>
      </c>
      <c r="H173">
        <v>243600</v>
      </c>
      <c r="I173" s="3">
        <f t="shared" si="2"/>
        <v>9.6010795318883357E-3</v>
      </c>
    </row>
    <row r="174" spans="1:9" x14ac:dyDescent="0.25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>
        <v>31.049999</v>
      </c>
      <c r="H174">
        <v>296800</v>
      </c>
      <c r="I174" s="3">
        <f t="shared" si="2"/>
        <v>-6.2801966595876557E-2</v>
      </c>
    </row>
    <row r="175" spans="1:9" x14ac:dyDescent="0.25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>
        <v>31.280000999999999</v>
      </c>
      <c r="H175">
        <v>283600</v>
      </c>
      <c r="I175" s="3">
        <f t="shared" si="2"/>
        <v>-5.754411580741357E-3</v>
      </c>
    </row>
    <row r="176" spans="1:9" x14ac:dyDescent="0.25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>
        <v>31.719999000000001</v>
      </c>
      <c r="H176">
        <v>273100</v>
      </c>
      <c r="I176" s="3">
        <f t="shared" si="2"/>
        <v>1.8284994271279827E-2</v>
      </c>
    </row>
    <row r="177" spans="1:9" x14ac:dyDescent="0.25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>
        <v>31.110001</v>
      </c>
      <c r="H177">
        <v>153900</v>
      </c>
      <c r="I177" s="3">
        <f t="shared" si="2"/>
        <v>-6.7502087190546801E-3</v>
      </c>
    </row>
    <row r="178" spans="1:9" x14ac:dyDescent="0.25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>
        <v>31.65</v>
      </c>
      <c r="H178">
        <v>177300</v>
      </c>
      <c r="I178" s="3">
        <f t="shared" si="2"/>
        <v>1.3586129541864051E-2</v>
      </c>
    </row>
    <row r="179" spans="1:9" x14ac:dyDescent="0.25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>
        <v>30.799999</v>
      </c>
      <c r="H179">
        <v>197300</v>
      </c>
      <c r="I179" s="3">
        <f t="shared" si="2"/>
        <v>-2.7922111296172461E-2</v>
      </c>
    </row>
    <row r="180" spans="1:9" x14ac:dyDescent="0.25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>
        <v>29.57</v>
      </c>
      <c r="H180">
        <v>366700</v>
      </c>
      <c r="I180" s="3">
        <f t="shared" si="2"/>
        <v>-3.4494420020290822E-2</v>
      </c>
    </row>
    <row r="181" spans="1:9" x14ac:dyDescent="0.25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>
        <v>29.76</v>
      </c>
      <c r="H181">
        <v>224900</v>
      </c>
      <c r="I181" s="3">
        <f t="shared" si="2"/>
        <v>3.6962365591398849E-3</v>
      </c>
    </row>
    <row r="182" spans="1:9" x14ac:dyDescent="0.25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>
        <v>29.549999</v>
      </c>
      <c r="H182">
        <v>543200</v>
      </c>
      <c r="I182" s="3">
        <f t="shared" si="2"/>
        <v>-1.3536717886183406E-3</v>
      </c>
    </row>
    <row r="183" spans="1:9" x14ac:dyDescent="0.25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>
        <v>30.870000999999998</v>
      </c>
      <c r="H183">
        <v>219600</v>
      </c>
      <c r="I183" s="3">
        <f t="shared" si="2"/>
        <v>4.1464235780232034E-2</v>
      </c>
    </row>
    <row r="184" spans="1:9" x14ac:dyDescent="0.25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>
        <v>30.209999</v>
      </c>
      <c r="H184">
        <v>269400</v>
      </c>
      <c r="I184" s="3">
        <f t="shared" si="2"/>
        <v>-2.5488282869522788E-2</v>
      </c>
    </row>
    <row r="185" spans="1:9" x14ac:dyDescent="0.25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>
        <v>30.75</v>
      </c>
      <c r="H185">
        <v>273900</v>
      </c>
      <c r="I185" s="3">
        <f t="shared" si="2"/>
        <v>2.4715447154471597E-2</v>
      </c>
    </row>
    <row r="186" spans="1:9" x14ac:dyDescent="0.25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>
        <v>27.74</v>
      </c>
      <c r="H186">
        <v>782900</v>
      </c>
      <c r="I186" s="3">
        <f t="shared" si="2"/>
        <v>-9.9855803893295E-2</v>
      </c>
    </row>
    <row r="187" spans="1:9" x14ac:dyDescent="0.25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>
        <v>26.629999000000002</v>
      </c>
      <c r="H187">
        <v>740400</v>
      </c>
      <c r="I187" s="3">
        <f t="shared" si="2"/>
        <v>-4.0180324452884837E-2</v>
      </c>
    </row>
    <row r="188" spans="1:9" x14ac:dyDescent="0.25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>
        <v>25.57</v>
      </c>
      <c r="H188">
        <v>1081500</v>
      </c>
      <c r="I188" s="3">
        <f t="shared" si="2"/>
        <v>-4.4192452092295657E-2</v>
      </c>
    </row>
    <row r="189" spans="1:9" x14ac:dyDescent="0.25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>
        <v>26.110001</v>
      </c>
      <c r="H189">
        <v>240200</v>
      </c>
      <c r="I189" s="3">
        <f t="shared" si="2"/>
        <v>1.5702795262244537E-2</v>
      </c>
    </row>
    <row r="190" spans="1:9" x14ac:dyDescent="0.25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>
        <v>26.41</v>
      </c>
      <c r="H190">
        <v>143000</v>
      </c>
      <c r="I190" s="3">
        <f t="shared" si="2"/>
        <v>1.2495266944339336E-2</v>
      </c>
    </row>
    <row r="191" spans="1:9" x14ac:dyDescent="0.25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>
        <v>27.5</v>
      </c>
      <c r="H191">
        <v>271300</v>
      </c>
      <c r="I191" s="3">
        <f t="shared" si="2"/>
        <v>2.5818145454545447E-2</v>
      </c>
    </row>
    <row r="192" spans="1:9" x14ac:dyDescent="0.25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>
        <v>28.02</v>
      </c>
      <c r="H192">
        <v>151200</v>
      </c>
      <c r="I192" s="3">
        <f t="shared" si="2"/>
        <v>1.7844396859386154E-2</v>
      </c>
    </row>
    <row r="193" spans="1:9" x14ac:dyDescent="0.25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>
        <v>27.299999</v>
      </c>
      <c r="H193">
        <v>167000</v>
      </c>
      <c r="I193" s="3">
        <f t="shared" si="2"/>
        <v>-2.1978059413115689E-2</v>
      </c>
    </row>
    <row r="194" spans="1:9" x14ac:dyDescent="0.25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>
        <v>26.370000999999998</v>
      </c>
      <c r="H194">
        <v>296000</v>
      </c>
      <c r="I194" s="3">
        <f t="shared" si="2"/>
        <v>-2.9199771361404239E-2</v>
      </c>
    </row>
    <row r="195" spans="1:9" x14ac:dyDescent="0.25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>
        <v>26.299999</v>
      </c>
      <c r="H195">
        <v>116200</v>
      </c>
      <c r="I195" s="3">
        <f t="shared" ref="I195:I252" si="3">(F195-C195)/F195</f>
        <v>1.1406806517369058E-2</v>
      </c>
    </row>
    <row r="196" spans="1:9" x14ac:dyDescent="0.25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>
        <v>26.15</v>
      </c>
      <c r="H196">
        <v>128000</v>
      </c>
      <c r="I196" s="3">
        <f t="shared" si="3"/>
        <v>-8.7953728489484889E-3</v>
      </c>
    </row>
    <row r="197" spans="1:9" x14ac:dyDescent="0.25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>
        <v>25.120000999999998</v>
      </c>
      <c r="H197">
        <v>236200</v>
      </c>
      <c r="I197" s="3">
        <f t="shared" si="3"/>
        <v>-3.5827984242516597E-2</v>
      </c>
    </row>
    <row r="198" spans="1:9" x14ac:dyDescent="0.25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>
        <v>25.190000999999999</v>
      </c>
      <c r="H198">
        <v>159600</v>
      </c>
      <c r="I198" s="3">
        <f t="shared" si="3"/>
        <v>7.5427150638064195E-3</v>
      </c>
    </row>
    <row r="199" spans="1:9" x14ac:dyDescent="0.25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>
        <v>25.75</v>
      </c>
      <c r="H199">
        <v>98400</v>
      </c>
      <c r="I199" s="3">
        <f t="shared" si="3"/>
        <v>-9.7087378640776691E-3</v>
      </c>
    </row>
    <row r="200" spans="1:9" x14ac:dyDescent="0.25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>
        <v>27.030000999999999</v>
      </c>
      <c r="H200">
        <v>244300</v>
      </c>
      <c r="I200" s="3">
        <f t="shared" si="3"/>
        <v>4.291527773158426E-2</v>
      </c>
    </row>
    <row r="201" spans="1:9" x14ac:dyDescent="0.25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>
        <v>27.799999</v>
      </c>
      <c r="H201">
        <v>148800</v>
      </c>
      <c r="I201" s="3">
        <f t="shared" si="3"/>
        <v>1.9064712915996873E-2</v>
      </c>
    </row>
    <row r="202" spans="1:9" x14ac:dyDescent="0.25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>
        <v>24.93</v>
      </c>
      <c r="H202">
        <v>310600</v>
      </c>
      <c r="I202" s="3">
        <f t="shared" si="3"/>
        <v>-9.5066145206578426E-2</v>
      </c>
    </row>
    <row r="203" spans="1:9" x14ac:dyDescent="0.25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>
        <v>24.610001</v>
      </c>
      <c r="H203">
        <v>450200</v>
      </c>
      <c r="I203" s="3">
        <f t="shared" si="3"/>
        <v>-1.5847175300805535E-2</v>
      </c>
    </row>
    <row r="204" spans="1:9" x14ac:dyDescent="0.25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>
        <v>23.16</v>
      </c>
      <c r="H204">
        <v>195300</v>
      </c>
      <c r="I204" s="3">
        <f t="shared" si="3"/>
        <v>-6.347145941278072E-2</v>
      </c>
    </row>
    <row r="205" spans="1:9" x14ac:dyDescent="0.25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>
        <v>22.959999</v>
      </c>
      <c r="H205">
        <v>229400</v>
      </c>
      <c r="I205" s="3">
        <f t="shared" si="3"/>
        <v>-1.7857230742910686E-2</v>
      </c>
    </row>
    <row r="206" spans="1:9" x14ac:dyDescent="0.25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>
        <v>22.379999000000002</v>
      </c>
      <c r="H206">
        <v>202700</v>
      </c>
      <c r="I206" s="3">
        <f t="shared" si="3"/>
        <v>8.9356572357313644E-4</v>
      </c>
    </row>
    <row r="207" spans="1:9" x14ac:dyDescent="0.25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>
        <v>21.01</v>
      </c>
      <c r="H207">
        <v>180600</v>
      </c>
      <c r="I207" s="3">
        <f t="shared" si="3"/>
        <v>-4.8072346501665773E-2</v>
      </c>
    </row>
    <row r="208" spans="1:9" x14ac:dyDescent="0.25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>
        <v>21.870000999999998</v>
      </c>
      <c r="H208">
        <v>111400</v>
      </c>
      <c r="I208" s="3">
        <f t="shared" si="3"/>
        <v>3.7494374142918369E-2</v>
      </c>
    </row>
    <row r="209" spans="1:9" x14ac:dyDescent="0.25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>
        <v>21.049999</v>
      </c>
      <c r="H209">
        <v>136800</v>
      </c>
      <c r="I209" s="3">
        <f t="shared" si="3"/>
        <v>-6.6509266817541927E-3</v>
      </c>
    </row>
    <row r="210" spans="1:9" x14ac:dyDescent="0.25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>
        <v>20.92</v>
      </c>
      <c r="H210">
        <v>140000</v>
      </c>
      <c r="I210" s="3">
        <f t="shared" si="3"/>
        <v>-1.7208460803059124E-2</v>
      </c>
    </row>
    <row r="211" spans="1:9" x14ac:dyDescent="0.25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>
        <v>21.17</v>
      </c>
      <c r="H211">
        <v>114300</v>
      </c>
      <c r="I211" s="3">
        <f t="shared" si="3"/>
        <v>1.8422248464808836E-2</v>
      </c>
    </row>
    <row r="212" spans="1:9" x14ac:dyDescent="0.25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>
        <v>21.35</v>
      </c>
      <c r="H212">
        <v>137900</v>
      </c>
      <c r="I212" s="3">
        <f t="shared" si="3"/>
        <v>-7.0257611241217131E-3</v>
      </c>
    </row>
    <row r="213" spans="1:9" x14ac:dyDescent="0.25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>
        <v>24.16</v>
      </c>
      <c r="H213">
        <v>296300</v>
      </c>
      <c r="I213" s="3">
        <f t="shared" si="3"/>
        <v>0.10968543046357609</v>
      </c>
    </row>
    <row r="214" spans="1:9" x14ac:dyDescent="0.25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>
        <v>25.719999000000001</v>
      </c>
      <c r="H214">
        <v>560900</v>
      </c>
      <c r="I214" s="3">
        <f t="shared" si="3"/>
        <v>3.8491408961563368E-2</v>
      </c>
    </row>
    <row r="215" spans="1:9" x14ac:dyDescent="0.25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>
        <v>26.18</v>
      </c>
      <c r="H215">
        <v>1054400</v>
      </c>
      <c r="I215" s="3">
        <f t="shared" si="3"/>
        <v>-4.2780710466004582E-2</v>
      </c>
    </row>
    <row r="216" spans="1:9" x14ac:dyDescent="0.25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>
        <v>26.969999000000001</v>
      </c>
      <c r="H216">
        <v>330900</v>
      </c>
      <c r="I216" s="3">
        <f t="shared" si="3"/>
        <v>4.5976976120762958E-2</v>
      </c>
    </row>
    <row r="217" spans="1:9" x14ac:dyDescent="0.25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>
        <v>28.059999000000001</v>
      </c>
      <c r="H217">
        <v>441300</v>
      </c>
      <c r="I217" s="3">
        <f t="shared" si="3"/>
        <v>1.9957199570819699E-2</v>
      </c>
    </row>
    <row r="218" spans="1:9" x14ac:dyDescent="0.25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>
        <v>25.66</v>
      </c>
      <c r="H218">
        <v>325900</v>
      </c>
      <c r="I218" s="3">
        <f t="shared" si="3"/>
        <v>-8.1839438815276749E-2</v>
      </c>
    </row>
    <row r="219" spans="1:9" x14ac:dyDescent="0.25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>
        <v>25.620000999999998</v>
      </c>
      <c r="H219">
        <v>215300</v>
      </c>
      <c r="I219" s="3">
        <f t="shared" si="3"/>
        <v>-1.5222442809428584E-2</v>
      </c>
    </row>
    <row r="220" spans="1:9" x14ac:dyDescent="0.25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>
        <v>25</v>
      </c>
      <c r="H220">
        <v>340500</v>
      </c>
      <c r="I220" s="3">
        <f t="shared" si="3"/>
        <v>-2.8399959999999991E-2</v>
      </c>
    </row>
    <row r="221" spans="1:9" x14ac:dyDescent="0.25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>
        <v>21.43</v>
      </c>
      <c r="H221">
        <v>924500</v>
      </c>
      <c r="I221" s="3">
        <f t="shared" si="3"/>
        <v>-7.3728418105459728E-2</v>
      </c>
    </row>
    <row r="222" spans="1:9" x14ac:dyDescent="0.25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>
        <v>21.620000999999998</v>
      </c>
      <c r="H222">
        <v>357900</v>
      </c>
      <c r="I222" s="3">
        <f t="shared" si="3"/>
        <v>1.017580896504121E-2</v>
      </c>
    </row>
    <row r="223" spans="1:9" x14ac:dyDescent="0.25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>
        <v>23.190000999999999</v>
      </c>
      <c r="H223">
        <v>258800</v>
      </c>
      <c r="I223" s="3">
        <f t="shared" si="3"/>
        <v>8.1069509225118089E-2</v>
      </c>
    </row>
    <row r="224" spans="1:9" x14ac:dyDescent="0.25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>
        <v>24.25</v>
      </c>
      <c r="H224">
        <v>165400</v>
      </c>
      <c r="I224" s="3">
        <f t="shared" si="3"/>
        <v>4.7422680412371077E-2</v>
      </c>
    </row>
    <row r="225" spans="1:9" x14ac:dyDescent="0.25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>
        <v>24.190000999999999</v>
      </c>
      <c r="H225">
        <v>283700</v>
      </c>
      <c r="I225" s="3">
        <f t="shared" si="3"/>
        <v>-2.066928397398565E-3</v>
      </c>
    </row>
    <row r="226" spans="1:9" x14ac:dyDescent="0.25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>
        <v>23</v>
      </c>
      <c r="H226">
        <v>252100</v>
      </c>
      <c r="I226" s="3">
        <f t="shared" si="3"/>
        <v>-2.3043521739130376E-2</v>
      </c>
    </row>
    <row r="227" spans="1:9" x14ac:dyDescent="0.25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>
        <v>23.959999</v>
      </c>
      <c r="H227">
        <v>77500</v>
      </c>
      <c r="I227" s="3">
        <f t="shared" si="3"/>
        <v>1.7111853802665025E-2</v>
      </c>
    </row>
    <row r="228" spans="1:9" x14ac:dyDescent="0.25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>
        <v>23.790001</v>
      </c>
      <c r="H228">
        <v>55500</v>
      </c>
      <c r="I228" s="3">
        <f t="shared" si="3"/>
        <v>1.2610381983590574E-2</v>
      </c>
    </row>
    <row r="229" spans="1:9" x14ac:dyDescent="0.25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>
        <v>22.790001</v>
      </c>
      <c r="H229">
        <v>301400</v>
      </c>
      <c r="I229" s="3">
        <f t="shared" si="3"/>
        <v>-7.1522550613315083E-2</v>
      </c>
    </row>
    <row r="230" spans="1:9" x14ac:dyDescent="0.25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>
        <v>25.5</v>
      </c>
      <c r="H230">
        <v>261200</v>
      </c>
      <c r="I230" s="3">
        <f t="shared" si="3"/>
        <v>0.10588239215686275</v>
      </c>
    </row>
    <row r="231" spans="1:9" x14ac:dyDescent="0.25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>
        <v>27.17</v>
      </c>
      <c r="H231">
        <v>225700</v>
      </c>
      <c r="I231" s="3">
        <f t="shared" si="3"/>
        <v>5.3367721751932287E-2</v>
      </c>
    </row>
    <row r="232" spans="1:9" x14ac:dyDescent="0.25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>
        <v>26</v>
      </c>
      <c r="H232">
        <v>127700</v>
      </c>
      <c r="I232" s="3">
        <f t="shared" si="3"/>
        <v>-3.73076538461539E-2</v>
      </c>
    </row>
    <row r="233" spans="1:9" x14ac:dyDescent="0.25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>
        <v>26.120000999999998</v>
      </c>
      <c r="H233">
        <v>101200</v>
      </c>
      <c r="I233" s="3">
        <f t="shared" si="3"/>
        <v>6.5084224154508324E-3</v>
      </c>
    </row>
    <row r="234" spans="1:9" x14ac:dyDescent="0.25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>
        <v>26.5</v>
      </c>
      <c r="H234">
        <v>122000</v>
      </c>
      <c r="I234" s="3">
        <f t="shared" si="3"/>
        <v>-2.415090566037734E-2</v>
      </c>
    </row>
    <row r="235" spans="1:9" x14ac:dyDescent="0.25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>
        <v>24.969999000000001</v>
      </c>
      <c r="H235">
        <v>138200</v>
      </c>
      <c r="I235" s="3">
        <f t="shared" si="3"/>
        <v>-5.4865881252137753E-2</v>
      </c>
    </row>
    <row r="236" spans="1:9" x14ac:dyDescent="0.25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>
        <v>25.01</v>
      </c>
      <c r="H236">
        <v>173200</v>
      </c>
      <c r="I236" s="3">
        <f t="shared" si="3"/>
        <v>4.1183526589364298E-2</v>
      </c>
    </row>
    <row r="237" spans="1:9" x14ac:dyDescent="0.25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>
        <v>24.299999</v>
      </c>
      <c r="H237">
        <v>75800</v>
      </c>
      <c r="I237" s="3">
        <f t="shared" si="3"/>
        <v>-2.9629672001221068E-2</v>
      </c>
    </row>
    <row r="238" spans="1:9" x14ac:dyDescent="0.25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>
        <v>25.120000999999998</v>
      </c>
      <c r="H238">
        <v>65600</v>
      </c>
      <c r="I238" s="3">
        <f t="shared" si="3"/>
        <v>4.4586025295142245E-2</v>
      </c>
    </row>
    <row r="239" spans="1:9" x14ac:dyDescent="0.25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>
        <v>24.709999</v>
      </c>
      <c r="H239">
        <v>131300</v>
      </c>
      <c r="I239" s="3">
        <f t="shared" si="3"/>
        <v>-3.0756779876842631E-2</v>
      </c>
    </row>
    <row r="240" spans="1:9" x14ac:dyDescent="0.25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>
        <v>25.33</v>
      </c>
      <c r="H240">
        <v>156300</v>
      </c>
      <c r="I240" s="3">
        <f t="shared" si="3"/>
        <v>2.6450848795894124E-2</v>
      </c>
    </row>
    <row r="241" spans="1:10" x14ac:dyDescent="0.25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>
        <v>25.48</v>
      </c>
      <c r="H241">
        <v>104800</v>
      </c>
      <c r="I241" s="3">
        <f t="shared" si="3"/>
        <v>-6.6718995290423137E-3</v>
      </c>
    </row>
    <row r="242" spans="1:10" x14ac:dyDescent="0.25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>
        <v>24.59</v>
      </c>
      <c r="H242">
        <v>129300</v>
      </c>
      <c r="I242" s="3">
        <f t="shared" si="3"/>
        <v>-1.9520130134200911E-2</v>
      </c>
    </row>
    <row r="243" spans="1:10" x14ac:dyDescent="0.25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>
        <v>24.370000999999998</v>
      </c>
      <c r="H243">
        <v>94600</v>
      </c>
      <c r="I243" s="3">
        <f t="shared" si="3"/>
        <v>-7.7963886829550307E-3</v>
      </c>
    </row>
    <row r="244" spans="1:10" x14ac:dyDescent="0.25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>
        <v>24.780000999999999</v>
      </c>
      <c r="H244">
        <v>69100</v>
      </c>
      <c r="I244" s="3">
        <f t="shared" si="3"/>
        <v>5.6497979963761533E-3</v>
      </c>
    </row>
    <row r="245" spans="1:10" x14ac:dyDescent="0.25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>
        <v>24.74</v>
      </c>
      <c r="H245">
        <v>236100</v>
      </c>
      <c r="I245" s="3">
        <f t="shared" si="3"/>
        <v>-8.0841147938561161E-3</v>
      </c>
    </row>
    <row r="246" spans="1:10" x14ac:dyDescent="0.25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>
        <v>23.790001</v>
      </c>
      <c r="H246">
        <v>191200</v>
      </c>
      <c r="I246" s="3">
        <f t="shared" si="3"/>
        <v>-3.5729212453584992E-2</v>
      </c>
    </row>
    <row r="247" spans="1:10" x14ac:dyDescent="0.25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>
        <v>22.190000999999999</v>
      </c>
      <c r="H247">
        <v>308200</v>
      </c>
      <c r="I247" s="3">
        <f t="shared" si="3"/>
        <v>-8.4722799246381361E-2</v>
      </c>
    </row>
    <row r="248" spans="1:10" x14ac:dyDescent="0.25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>
        <v>22.57</v>
      </c>
      <c r="H248">
        <v>99600</v>
      </c>
      <c r="I248" s="3">
        <f t="shared" si="3"/>
        <v>1.6393398316349134E-2</v>
      </c>
    </row>
    <row r="249" spans="1:10" x14ac:dyDescent="0.25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>
        <v>23.450001</v>
      </c>
      <c r="H249">
        <v>145200</v>
      </c>
      <c r="I249" s="3">
        <f t="shared" si="3"/>
        <v>2.8571427353030889E-2</v>
      </c>
    </row>
    <row r="250" spans="1:10" x14ac:dyDescent="0.25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>
        <v>23.940000999999999</v>
      </c>
      <c r="H250">
        <v>156200</v>
      </c>
      <c r="I250" s="3">
        <f t="shared" si="3"/>
        <v>4.0518043420298827E-2</v>
      </c>
    </row>
    <row r="251" spans="1:10" x14ac:dyDescent="0.25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>
        <v>23.58</v>
      </c>
      <c r="H251">
        <v>94900</v>
      </c>
      <c r="I251" s="3">
        <f t="shared" si="3"/>
        <v>-2.8837998303647298E-2</v>
      </c>
    </row>
    <row r="252" spans="1:10" x14ac:dyDescent="0.25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>
        <v>23.4</v>
      </c>
      <c r="H252">
        <v>117300</v>
      </c>
      <c r="I252" s="3">
        <f t="shared" si="3"/>
        <v>-8.9744017094017907E-3</v>
      </c>
    </row>
    <row r="253" spans="1:10" x14ac:dyDescent="0.25">
      <c r="H253">
        <f>SUM(H2:H252)</f>
        <v>107873900</v>
      </c>
      <c r="I253" s="3">
        <f>(F252-C2)/F252</f>
        <v>-1.5692307264957266</v>
      </c>
      <c r="J253" s="4" t="s">
        <v>526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05DB9-01B1-41BA-BBE0-7C64323EC5FA}">
  <sheetPr codeName="Sheet7"/>
  <dimension ref="A1:H8"/>
  <sheetViews>
    <sheetView workbookViewId="0">
      <selection sqref="A1:H8"/>
    </sheetView>
  </sheetViews>
  <sheetFormatPr defaultRowHeight="15" x14ac:dyDescent="0.25"/>
  <sheetData>
    <row r="1" spans="1:8" x14ac:dyDescent="0.25">
      <c r="A1" s="5">
        <v>1</v>
      </c>
      <c r="B1" s="6">
        <v>2</v>
      </c>
      <c r="C1" s="5">
        <v>3</v>
      </c>
      <c r="D1" s="6">
        <v>4</v>
      </c>
      <c r="E1" s="5">
        <v>5</v>
      </c>
      <c r="F1" s="6">
        <v>6</v>
      </c>
      <c r="G1" s="5">
        <v>7</v>
      </c>
      <c r="H1" s="6">
        <v>8</v>
      </c>
    </row>
    <row r="2" spans="1:8" x14ac:dyDescent="0.25">
      <c r="A2" s="4">
        <v>2</v>
      </c>
      <c r="B2" s="7">
        <v>3</v>
      </c>
      <c r="C2" s="4">
        <v>4</v>
      </c>
      <c r="D2" s="7">
        <v>5</v>
      </c>
      <c r="E2" s="4">
        <v>6</v>
      </c>
      <c r="F2" s="7">
        <v>7</v>
      </c>
      <c r="G2" s="4">
        <v>8</v>
      </c>
      <c r="H2" s="7">
        <v>9</v>
      </c>
    </row>
    <row r="3" spans="1:8" x14ac:dyDescent="0.25">
      <c r="A3" s="5">
        <v>3</v>
      </c>
      <c r="B3" s="6">
        <v>4</v>
      </c>
      <c r="C3" s="5">
        <v>5</v>
      </c>
      <c r="D3" s="6">
        <v>6</v>
      </c>
      <c r="E3" s="5">
        <v>7</v>
      </c>
      <c r="F3" s="6">
        <v>8</v>
      </c>
      <c r="G3" s="5">
        <v>9</v>
      </c>
      <c r="H3" s="6">
        <v>10</v>
      </c>
    </row>
    <row r="4" spans="1:8" x14ac:dyDescent="0.25">
      <c r="A4" s="4">
        <v>4</v>
      </c>
      <c r="B4" s="7">
        <v>5</v>
      </c>
      <c r="C4" s="4">
        <v>6</v>
      </c>
      <c r="D4" s="7">
        <v>7</v>
      </c>
      <c r="E4" s="4">
        <v>8</v>
      </c>
      <c r="F4" s="7">
        <v>9</v>
      </c>
      <c r="G4" s="4">
        <v>10</v>
      </c>
      <c r="H4" s="7">
        <v>11</v>
      </c>
    </row>
    <row r="5" spans="1:8" x14ac:dyDescent="0.25">
      <c r="A5" s="5">
        <v>5</v>
      </c>
      <c r="B5" s="6">
        <v>6</v>
      </c>
      <c r="C5" s="5">
        <v>7</v>
      </c>
      <c r="D5" s="6">
        <v>8</v>
      </c>
      <c r="E5" s="5">
        <v>9</v>
      </c>
      <c r="F5" s="6">
        <v>10</v>
      </c>
      <c r="G5" s="5">
        <v>11</v>
      </c>
      <c r="H5" s="6">
        <v>12</v>
      </c>
    </row>
    <row r="6" spans="1:8" x14ac:dyDescent="0.25">
      <c r="A6" s="4">
        <v>6</v>
      </c>
      <c r="B6" s="7">
        <v>7</v>
      </c>
      <c r="C6" s="4">
        <v>8</v>
      </c>
      <c r="D6" s="7">
        <v>9</v>
      </c>
      <c r="E6" s="4">
        <v>10</v>
      </c>
      <c r="F6" s="7">
        <v>11</v>
      </c>
      <c r="G6" s="4">
        <v>12</v>
      </c>
      <c r="H6" s="7">
        <v>13</v>
      </c>
    </row>
    <row r="7" spans="1:8" x14ac:dyDescent="0.25">
      <c r="A7" s="5">
        <v>7</v>
      </c>
      <c r="B7" s="6">
        <v>8</v>
      </c>
      <c r="C7" s="5">
        <v>9</v>
      </c>
      <c r="D7" s="6">
        <v>10</v>
      </c>
      <c r="E7" s="5">
        <v>11</v>
      </c>
      <c r="F7" s="6">
        <v>12</v>
      </c>
      <c r="G7" s="5">
        <v>13</v>
      </c>
      <c r="H7" s="6">
        <v>14</v>
      </c>
    </row>
    <row r="8" spans="1:8" x14ac:dyDescent="0.25">
      <c r="A8" s="4">
        <v>8</v>
      </c>
      <c r="B8" s="7">
        <v>9</v>
      </c>
      <c r="C8" s="4">
        <v>10</v>
      </c>
      <c r="D8" s="7">
        <v>11</v>
      </c>
      <c r="E8" s="4">
        <v>12</v>
      </c>
      <c r="F8" s="7">
        <v>13</v>
      </c>
      <c r="G8" s="4">
        <v>14</v>
      </c>
      <c r="H8" s="7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AllStocksAnalysis</vt:lpstr>
      <vt:lpstr>DQ Only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K Wagner</dc:creator>
  <cp:lastModifiedBy>Lisa K Wagner</cp:lastModifiedBy>
  <dcterms:created xsi:type="dcterms:W3CDTF">2019-05-02T20:23:55Z</dcterms:created>
  <dcterms:modified xsi:type="dcterms:W3CDTF">2021-06-30T02:17:40Z</dcterms:modified>
</cp:coreProperties>
</file>